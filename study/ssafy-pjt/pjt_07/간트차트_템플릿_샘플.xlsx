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git file\first_repo\pjt\pjt_07\"/>
    </mc:Choice>
  </mc:AlternateContent>
  <xr:revisionPtr revIDLastSave="0" documentId="13_ncr:1_{D8EB6ADF-CBC0-4698-AE95-C86CE8C67B1D}" xr6:coauthVersionLast="47" xr6:coauthVersionMax="47" xr10:uidLastSave="{00000000-0000-0000-0000-000000000000}"/>
  <bookViews>
    <workbookView xWindow="3135" yWindow="1665" windowWidth="21600" windowHeight="11295" tabRatio="500" activeTab="2" xr2:uid="{00000000-000D-0000-FFFF-FFFF00000000}"/>
  </bookViews>
  <sheets>
    <sheet name="사용 가이드" sheetId="1" r:id="rId1"/>
    <sheet name="🗓️ 간트 차트" sheetId="2" r:id="rId2"/>
    <sheet name="🔵 샘플 (AI 자소서 코칭)" sheetId="3" r:id="rId3"/>
  </sheets>
  <definedNames>
    <definedName name="_xlnm.Print_Area" localSheetId="2">'🔵 샘플 (AI 자소서 코칭)'!$A$1:$W$42</definedName>
    <definedName name="_xlnm.Print_Area" localSheetId="1">'🗓️ 간트 차트'!$A$1:$W$43</definedName>
    <definedName name="_xlnm.Print_Area" localSheetId="0">'사용 가이드'!$A$1:$C$52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9" i="2" l="1"/>
  <c r="V9" i="2"/>
  <c r="U9" i="2"/>
  <c r="T9" i="2"/>
  <c r="S9" i="2"/>
  <c r="R9" i="2"/>
  <c r="Q9" i="2"/>
  <c r="P9" i="2"/>
  <c r="O9" i="2"/>
  <c r="N9" i="2"/>
  <c r="M9" i="2"/>
  <c r="L9" i="2"/>
  <c r="K9" i="2"/>
  <c r="E33" i="3"/>
  <c r="D33" i="3"/>
  <c r="F33" i="3" s="1"/>
  <c r="E32" i="3"/>
  <c r="D32" i="3"/>
  <c r="F32" i="3" s="1"/>
  <c r="E31" i="3"/>
  <c r="D31" i="3"/>
  <c r="F31" i="3" s="1"/>
  <c r="E29" i="3"/>
  <c r="D29" i="3"/>
  <c r="F29" i="3" s="1"/>
  <c r="E28" i="3"/>
  <c r="D28" i="3"/>
  <c r="F28" i="3" s="1"/>
  <c r="F27" i="3"/>
  <c r="E27" i="3"/>
  <c r="D27" i="3"/>
  <c r="E25" i="3"/>
  <c r="D25" i="3"/>
  <c r="F25" i="3" s="1"/>
  <c r="E24" i="3"/>
  <c r="D24" i="3"/>
  <c r="F24" i="3" s="1"/>
  <c r="E23" i="3"/>
  <c r="D23" i="3"/>
  <c r="F23" i="3" s="1"/>
  <c r="E22" i="3"/>
  <c r="D22" i="3"/>
  <c r="F22" i="3" s="1"/>
  <c r="E20" i="3"/>
  <c r="F20" i="3" s="1"/>
  <c r="D20" i="3"/>
  <c r="E19" i="3"/>
  <c r="F19" i="3" s="1"/>
  <c r="D19" i="3"/>
  <c r="E18" i="3"/>
  <c r="D18" i="3"/>
  <c r="F18" i="3" s="1"/>
  <c r="E17" i="3"/>
  <c r="D17" i="3"/>
  <c r="F17" i="3" s="1"/>
  <c r="E16" i="3"/>
  <c r="D16" i="3"/>
  <c r="F16" i="3" s="1"/>
  <c r="F14" i="3"/>
  <c r="E14" i="3"/>
  <c r="D14" i="3"/>
  <c r="E13" i="3"/>
  <c r="F13" i="3" s="1"/>
  <c r="D13" i="3"/>
  <c r="E12" i="3"/>
  <c r="D12" i="3"/>
  <c r="F12" i="3" s="1"/>
  <c r="E11" i="3"/>
  <c r="D11" i="3"/>
  <c r="F11" i="3" s="1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H5" i="3"/>
  <c r="E5" i="3"/>
  <c r="J9" i="2"/>
  <c r="H5" i="2"/>
  <c r="E5" i="2"/>
</calcChain>
</file>

<file path=xl/sharedStrings.xml><?xml version="1.0" encoding="utf-8"?>
<sst xmlns="http://schemas.openxmlformats.org/spreadsheetml/2006/main" count="284" uniqueCount="166">
  <si>
    <r>
      <rPr>
        <b/>
        <sz val="20"/>
        <color rgb="FF1F4E79"/>
        <rFont val="Noto Sans CJK SC"/>
        <family val="2"/>
      </rPr>
      <t>📋 관통</t>
    </r>
    <r>
      <rPr>
        <b/>
        <sz val="20"/>
        <color rgb="FF1F4E79"/>
        <rFont val="맑은 고딕"/>
        <family val="3"/>
        <charset val="129"/>
      </rPr>
      <t xml:space="preserve">PJT </t>
    </r>
    <r>
      <rPr>
        <b/>
        <sz val="20"/>
        <color rgb="FF1F4E79"/>
        <rFont val="Noto Sans CJK SC"/>
        <family val="2"/>
      </rPr>
      <t>간트 차트 템플릿 — 사용 가이드</t>
    </r>
  </si>
  <si>
    <r>
      <rPr>
        <b/>
        <sz val="14"/>
        <color rgb="FF1F4E79"/>
        <rFont val="맑은 고딕"/>
        <family val="3"/>
        <charset val="129"/>
      </rPr>
      <t xml:space="preserve">1️⃣ </t>
    </r>
    <r>
      <rPr>
        <b/>
        <sz val="14"/>
        <color rgb="FF1F4E79"/>
        <rFont val="Noto Sans CJK SC"/>
        <family val="2"/>
      </rPr>
      <t>이 템플릿은 무엇인가요</t>
    </r>
    <r>
      <rPr>
        <b/>
        <sz val="14"/>
        <color rgb="FF1F4E79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</si>
  <si>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WBS(</t>
    </r>
    <r>
      <rPr>
        <sz val="10"/>
        <color rgb="FF000000"/>
        <rFont val="Noto Sans CJK SC"/>
        <family val="2"/>
      </rPr>
      <t>작업 분해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3"/>
        <charset val="129"/>
      </rPr>
      <t>Gantt Chart(</t>
    </r>
    <r>
      <rPr>
        <sz val="10"/>
        <color rgb="FF000000"/>
        <rFont val="Noto Sans CJK SC"/>
        <family val="2"/>
      </rPr>
      <t>타임라인 시각화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한 시트에서 관리합니다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</si>
  <si>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팀원이 각자 무엇을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언제까지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어디까지 했는지 한눈에 보이게 해줍니다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</si>
  <si>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강의에서 다룬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우리 팀의 그라운드룰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을 실제로 굴리기 위한 도구입니다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</si>
  <si>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2️⃣ </t>
    </r>
    <r>
      <rPr>
        <b/>
        <sz val="14"/>
        <color rgb="FF1F4E79"/>
        <rFont val="Noto Sans CJK SC"/>
        <family val="2"/>
      </rPr>
      <t xml:space="preserve">작성 순서 </t>
    </r>
    <r>
      <rPr>
        <b/>
        <sz val="14"/>
        <color rgb="FF1F4E79"/>
        <rFont val="맑은 고딕"/>
        <family val="3"/>
        <charset val="129"/>
      </rPr>
      <t>(10</t>
    </r>
    <r>
      <rPr>
        <b/>
        <sz val="14"/>
        <color rgb="FF1F4E79"/>
        <rFont val="Noto Sans CJK SC"/>
        <family val="2"/>
      </rPr>
      <t>분이면 끝</t>
    </r>
    <r>
      <rPr>
        <b/>
        <sz val="14"/>
        <color rgb="FF1F4E79"/>
        <rFont val="맑은 고딕"/>
        <family val="3"/>
        <charset val="129"/>
      </rPr>
      <t>)</t>
    </r>
  </si>
  <si>
    <t>STEP 1.</t>
  </si>
  <si>
    <r>
      <rPr>
        <sz val="10"/>
        <color rgb="FF000000"/>
        <rFont val="맑은 고딕"/>
        <family val="3"/>
        <charset val="129"/>
      </rPr>
      <t xml:space="preserve">'🗓️ </t>
    </r>
    <r>
      <rPr>
        <sz val="10"/>
        <color rgb="FF000000"/>
        <rFont val="Noto Sans CJK SC"/>
        <family val="2"/>
      </rPr>
      <t>간트 차트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시트로 이동합니다</t>
    </r>
    <r>
      <rPr>
        <sz val="10"/>
        <color rgb="FF000000"/>
        <rFont val="맑은 고딕"/>
        <family val="3"/>
        <charset val="129"/>
      </rPr>
      <t>.</t>
    </r>
  </si>
  <si>
    <t>STEP 2.</t>
  </si>
  <si>
    <r>
      <rPr>
        <sz val="10"/>
        <color rgb="FF000000"/>
        <rFont val="Noto Sans CJK SC"/>
        <family val="2"/>
      </rPr>
      <t>상단 헤더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팀명</t>
    </r>
    <r>
      <rPr>
        <sz val="10"/>
        <color rgb="FF000000"/>
        <rFont val="맑은 고딕"/>
        <family val="3"/>
        <charset val="129"/>
      </rPr>
      <t xml:space="preserve">, PJT </t>
    </r>
    <r>
      <rPr>
        <sz val="10"/>
        <color rgb="FF000000"/>
        <rFont val="Noto Sans CJK SC"/>
        <family val="2"/>
      </rPr>
      <t>제목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종료일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채웁니다</t>
    </r>
    <r>
      <rPr>
        <sz val="10"/>
        <color rgb="FF000000"/>
        <rFont val="맑은 고딕"/>
        <family val="3"/>
        <charset val="129"/>
      </rPr>
      <t>.</t>
    </r>
  </si>
  <si>
    <t>STEP 3.</t>
  </si>
  <si>
    <r>
      <rPr>
        <sz val="10"/>
        <color rgb="FF000000"/>
        <rFont val="Noto Sans CJK SC"/>
        <family val="2"/>
      </rPr>
      <t xml:space="preserve">시작일을 바꾸면 </t>
    </r>
    <r>
      <rPr>
        <sz val="10"/>
        <color rgb="FF000000"/>
        <rFont val="맑은 고딕"/>
        <family val="3"/>
        <charset val="129"/>
      </rPr>
      <t>Day 1~14</t>
    </r>
    <r>
      <rPr>
        <sz val="10"/>
        <color rgb="FF000000"/>
        <rFont val="Noto Sans CJK SC"/>
        <family val="2"/>
      </rPr>
      <t>의 날짜가 자동으로 따라옵니다</t>
    </r>
    <r>
      <rPr>
        <sz val="10"/>
        <color rgb="FF000000"/>
        <rFont val="맑은 고딕"/>
        <family val="3"/>
        <charset val="129"/>
      </rPr>
      <t>.</t>
    </r>
  </si>
  <si>
    <t>STEP 4.</t>
  </si>
  <si>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번호를 따라 작업을 나열합니다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 / 1.1 / 1.1.1).</t>
    </r>
  </si>
  <si>
    <t>STEP 5.</t>
  </si>
  <si>
    <r>
      <rPr>
        <sz val="10"/>
        <color rgb="FF000000"/>
        <rFont val="Noto Sans CJK SC"/>
        <family val="2"/>
      </rPr>
      <t>각 작업의 담당자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종료일을 입력합니다</t>
    </r>
    <r>
      <rPr>
        <sz val="10"/>
        <color rgb="FF000000"/>
        <rFont val="맑은 고딕"/>
        <family val="3"/>
        <charset val="129"/>
      </rPr>
      <t>.</t>
    </r>
  </si>
  <si>
    <t>STEP 6.</t>
  </si>
  <si>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(0~100%)</t>
    </r>
    <r>
      <rPr>
        <sz val="10"/>
        <color rgb="FF000000"/>
        <rFont val="Noto Sans CJK SC"/>
        <family val="2"/>
      </rPr>
      <t>과 상태를 매일 데일리 스크럼 때 업데이트합니다</t>
    </r>
    <r>
      <rPr>
        <sz val="10"/>
        <color rgb="FF000000"/>
        <rFont val="맑은 고딕"/>
        <family val="3"/>
        <charset val="129"/>
      </rPr>
      <t>.</t>
    </r>
  </si>
  <si>
    <t>STEP 7.</t>
  </si>
  <si>
    <r>
      <rPr>
        <sz val="10"/>
        <color rgb="FF000000"/>
        <rFont val="맑은 고딕"/>
        <family val="3"/>
        <charset val="129"/>
      </rPr>
      <t>Day</t>
    </r>
    <r>
      <rPr>
        <sz val="10"/>
        <color rgb="FF000000"/>
        <rFont val="Noto Sans CJK SC"/>
        <family val="2"/>
      </rPr>
      <t xml:space="preserve">별 색칠은 자동으로 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Noto Sans CJK SC"/>
        <family val="2"/>
      </rPr>
      <t>종료일 사이가 파란 막대로 표시</t>
    </r>
    <r>
      <rPr>
        <sz val="10"/>
        <color rgb="FF000000"/>
        <rFont val="맑은 고딕"/>
        <family val="3"/>
        <charset val="129"/>
      </rPr>
      <t>).</t>
    </r>
  </si>
  <si>
    <r>
      <rPr>
        <b/>
        <sz val="14"/>
        <color rgb="FF1F4E79"/>
        <rFont val="맑은 고딕"/>
        <family val="3"/>
        <charset val="129"/>
      </rPr>
      <t xml:space="preserve">3️⃣ </t>
    </r>
    <r>
      <rPr>
        <b/>
        <sz val="14"/>
        <color rgb="FF1F4E79"/>
        <rFont val="Noto Sans CJK SC"/>
        <family val="2"/>
      </rPr>
      <t>컬럼 설명</t>
    </r>
  </si>
  <si>
    <r>
      <rPr>
        <b/>
        <sz val="10"/>
        <color rgb="FF595959"/>
        <rFont val="맑은 고딕"/>
        <family val="3"/>
        <charset val="129"/>
      </rPr>
      <t xml:space="preserve">WBS </t>
    </r>
    <r>
      <rPr>
        <b/>
        <sz val="10"/>
        <color rgb="FF595959"/>
        <rFont val="Noto Sans CJK SC"/>
        <family val="2"/>
      </rPr>
      <t>번호</t>
    </r>
  </si>
  <si>
    <r>
      <rPr>
        <sz val="10"/>
        <color rgb="FF000000"/>
        <rFont val="Noto Sans CJK SC"/>
        <family val="2"/>
      </rPr>
      <t>작업의 계층 번호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1.0(Phase) / 1.1(Story) / 1.1.1(Task)</t>
    </r>
  </si>
  <si>
    <t>작업 내용</t>
  </si>
  <si>
    <r>
      <rPr>
        <sz val="10"/>
        <color rgb="FF000000"/>
        <rFont val="Noto Sans CJK SC"/>
        <family val="2"/>
      </rPr>
      <t>구체적인 작업명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 xml:space="preserve">코칭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처럼 명확하게</t>
    </r>
    <r>
      <rPr>
        <sz val="10"/>
        <color rgb="FF000000"/>
        <rFont val="맑은 고딕"/>
        <family val="3"/>
        <charset val="129"/>
      </rPr>
      <t>.</t>
    </r>
  </si>
  <si>
    <t>담당자</t>
  </si>
  <si>
    <r>
      <rPr>
        <sz val="10"/>
        <color rgb="FF000000"/>
        <rFont val="Noto Sans CJK SC"/>
        <family val="2"/>
      </rPr>
      <t>주 책임자 한 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>여러 명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이라고 적지 마세요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</si>
  <si>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시작일</t>
    </r>
    <r>
      <rPr>
        <b/>
        <sz val="10"/>
        <color rgb="FF595959"/>
        <rFont val="맑은 고딕"/>
        <family val="3"/>
        <charset val="129"/>
      </rPr>
      <t>/</t>
    </r>
    <r>
      <rPr>
        <b/>
        <sz val="10"/>
        <color rgb="FF595959"/>
        <rFont val="Noto Sans CJK SC"/>
        <family val="2"/>
      </rPr>
      <t>종료일</t>
    </r>
  </si>
  <si>
    <r>
      <rPr>
        <sz val="10"/>
        <color rgb="FF000000"/>
        <rFont val="맑은 고딕"/>
        <family val="3"/>
        <charset val="129"/>
      </rPr>
      <t xml:space="preserve">yyyy-mm-dd </t>
    </r>
    <r>
      <rPr>
        <sz val="10"/>
        <color rgb="FF000000"/>
        <rFont val="Noto Sans CJK SC"/>
        <family val="2"/>
      </rPr>
      <t>형식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셀 클릭 후 날짜 입력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</si>
  <si>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기간</t>
    </r>
    <r>
      <rPr>
        <b/>
        <sz val="10"/>
        <color rgb="FF595959"/>
        <rFont val="맑은 고딕"/>
        <family val="3"/>
        <charset val="129"/>
      </rPr>
      <t>(</t>
    </r>
    <r>
      <rPr>
        <b/>
        <sz val="10"/>
        <color rgb="FF595959"/>
        <rFont val="Noto Sans CJK SC"/>
        <family val="2"/>
      </rPr>
      <t>일</t>
    </r>
    <r>
      <rPr>
        <b/>
        <sz val="10"/>
        <color rgb="FF595959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</si>
  <si>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종료일 − 시작일 </t>
    </r>
    <r>
      <rPr>
        <sz val="10"/>
        <color rgb="FF000000"/>
        <rFont val="맑은 고딕"/>
        <family val="3"/>
        <charset val="129"/>
      </rPr>
      <t>+ 1).</t>
    </r>
  </si>
  <si>
    <t>진행률</t>
  </si>
  <si>
    <r>
      <rPr>
        <sz val="10"/>
        <color rgb="FF000000"/>
        <rFont val="맑은 고딕"/>
        <family val="3"/>
        <charset val="129"/>
      </rPr>
      <t xml:space="preserve">0~100%. </t>
    </r>
    <r>
      <rPr>
        <sz val="10"/>
        <color rgb="FF000000"/>
        <rFont val="Noto Sans CJK SC"/>
        <family val="2"/>
      </rPr>
      <t xml:space="preserve">셀에 </t>
    </r>
    <r>
      <rPr>
        <sz val="10"/>
        <color rgb="FF000000"/>
        <rFont val="맑은 고딕"/>
        <family val="3"/>
        <charset val="129"/>
      </rPr>
      <t xml:space="preserve">0.5 </t>
    </r>
    <r>
      <rPr>
        <sz val="10"/>
        <color rgb="FF000000"/>
        <rFont val="Noto Sans CJK SC"/>
        <family val="2"/>
      </rPr>
      <t xml:space="preserve">입력 시 자동으로 </t>
    </r>
    <r>
      <rPr>
        <sz val="10"/>
        <color rgb="FF000000"/>
        <rFont val="맑은 고딕"/>
        <family val="3"/>
        <charset val="129"/>
      </rPr>
      <t>50%</t>
    </r>
    <r>
      <rPr>
        <sz val="10"/>
        <color rgb="FF000000"/>
        <rFont val="Noto Sans CJK SC"/>
        <family val="2"/>
      </rPr>
      <t>로 표시</t>
    </r>
    <r>
      <rPr>
        <sz val="10"/>
        <color rgb="FF000000"/>
        <rFont val="맑은 고딕"/>
        <family val="3"/>
        <charset val="129"/>
      </rPr>
      <t>.</t>
    </r>
  </si>
  <si>
    <t>상태</t>
  </si>
  <si>
    <r>
      <rPr>
        <sz val="10"/>
        <color rgb="FF000000"/>
        <rFont val="Noto Sans CJK SC"/>
        <family val="2"/>
      </rPr>
      <t>드롭다운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 xml:space="preserve">시작 전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진행 중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주의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지연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완료</t>
    </r>
  </si>
  <si>
    <t>선행 작업</t>
  </si>
  <si>
    <r>
      <rPr>
        <sz val="10"/>
        <color rgb="FF000000"/>
        <rFont val="Noto Sans CJK SC"/>
        <family val="2"/>
      </rPr>
      <t xml:space="preserve">이 작업 전에 끝나야 하는 작업의 </t>
    </r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1.2)</t>
    </r>
  </si>
  <si>
    <r>
      <rPr>
        <b/>
        <sz val="14"/>
        <color rgb="FF1F4E79"/>
        <rFont val="맑은 고딕"/>
        <family val="3"/>
        <charset val="129"/>
      </rPr>
      <t xml:space="preserve">4️⃣ </t>
    </r>
    <r>
      <rPr>
        <b/>
        <sz val="14"/>
        <color rgb="FF1F4E79"/>
        <rFont val="Noto Sans CJK SC"/>
        <family val="2"/>
      </rPr>
      <t>상태</t>
    </r>
    <r>
      <rPr>
        <b/>
        <sz val="14"/>
        <color rgb="FF1F4E79"/>
        <rFont val="맑은 고딕"/>
        <family val="3"/>
        <charset val="129"/>
      </rPr>
      <t xml:space="preserve">(Status) </t>
    </r>
    <r>
      <rPr>
        <b/>
        <sz val="14"/>
        <color rgb="FF1F4E79"/>
        <rFont val="Noto Sans CJK SC"/>
        <family val="2"/>
      </rPr>
      <t>의미</t>
    </r>
  </si>
  <si>
    <t>⬜ 시작 전</t>
  </si>
  <si>
    <t>아직 착수하지 않은 작업</t>
  </si>
  <si>
    <t>🟢 진행 중</t>
  </si>
  <si>
    <r>
      <rPr>
        <sz val="10"/>
        <color rgb="FF000000"/>
        <rFont val="Noto Sans CJK SC"/>
        <family val="2"/>
      </rPr>
      <t>정상 진행 중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일정 내 완료 예상</t>
    </r>
  </si>
  <si>
    <t>🟡 주의</t>
  </si>
  <si>
    <r>
      <rPr>
        <sz val="10"/>
        <color rgb="FF000000"/>
        <rFont val="Noto Sans CJK SC"/>
        <family val="2"/>
      </rPr>
      <t>지연 가능성 있음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다음 스크럼 때 점검 필요</t>
    </r>
  </si>
  <si>
    <t>🔴 지연</t>
  </si>
  <si>
    <r>
      <rPr>
        <sz val="10"/>
        <color rgb="FF000000"/>
        <rFont val="Noto Sans CJK SC"/>
        <family val="2"/>
      </rPr>
      <t>일정 초과 또는 차단</t>
    </r>
    <r>
      <rPr>
        <sz val="10"/>
        <color rgb="FF000000"/>
        <rFont val="맑은 고딕"/>
        <family val="3"/>
        <charset val="129"/>
      </rPr>
      <t xml:space="preserve">(blocked) 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즉시 조치 필요</t>
    </r>
  </si>
  <si>
    <t>🔵 완료</t>
  </si>
  <si>
    <r>
      <rPr>
        <sz val="10"/>
        <color rgb="FF000000"/>
        <rFont val="Noto Sans CJK SC"/>
        <family val="2"/>
      </rPr>
      <t>작업 완료</t>
    </r>
    <r>
      <rPr>
        <sz val="10"/>
        <color rgb="FF000000"/>
        <rFont val="맑은 고딕"/>
        <family val="3"/>
        <charset val="129"/>
      </rPr>
      <t>. PR</t>
    </r>
    <r>
      <rPr>
        <sz val="10"/>
        <color rgb="FF000000"/>
        <rFont val="Noto Sans CJK SC"/>
        <family val="2"/>
      </rPr>
      <t>도 머지된 상태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</si>
  <si>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5️⃣ WBS </t>
    </r>
    <r>
      <rPr>
        <b/>
        <sz val="14"/>
        <color rgb="FF1F4E79"/>
        <rFont val="Noto Sans CJK SC"/>
        <family val="2"/>
      </rPr>
      <t xml:space="preserve">작성 팁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Noto Sans CJK SC"/>
        <family val="2"/>
      </rPr>
      <t>망하지 않는 노하우</t>
    </r>
    <r>
      <rPr>
        <b/>
        <sz val="14"/>
        <color rgb="FF1F4E79"/>
        <rFont val="맑은 고딕"/>
        <family val="3"/>
        <charset val="129"/>
      </rPr>
      <t>)</t>
    </r>
  </si>
  <si>
    <t>✅ DO</t>
  </si>
  <si>
    <r>
      <rPr>
        <sz val="10"/>
        <color rgb="FF000000"/>
        <rFont val="맑은 고딕"/>
        <family val="3"/>
        <charset val="129"/>
      </rPr>
      <t>Phase</t>
    </r>
    <r>
      <rPr>
        <sz val="10"/>
        <color rgb="FF000000"/>
        <rFont val="Noto Sans CJK SC"/>
        <family val="2"/>
      </rPr>
      <t xml:space="preserve">별로 묶기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1.0 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설계 </t>
    </r>
    <r>
      <rPr>
        <sz val="10"/>
        <color rgb="FF000000"/>
        <rFont val="맑은 고딕"/>
        <family val="3"/>
        <charset val="129"/>
      </rPr>
      <t xml:space="preserve">/ 2.0 </t>
    </r>
    <r>
      <rPr>
        <sz val="10"/>
        <color rgb="FF000000"/>
        <rFont val="Noto Sans CJK SC"/>
        <family val="2"/>
      </rPr>
      <t xml:space="preserve">백엔드 </t>
    </r>
    <r>
      <rPr>
        <sz val="10"/>
        <color rgb="FF000000"/>
        <rFont val="맑은 고딕"/>
        <family val="3"/>
        <charset val="129"/>
      </rPr>
      <t xml:space="preserve">/ 3.0 </t>
    </r>
    <r>
      <rPr>
        <sz val="10"/>
        <color rgb="FF000000"/>
        <rFont val="Noto Sans CJK SC"/>
        <family val="2"/>
      </rPr>
      <t xml:space="preserve">프론트엔드 </t>
    </r>
    <r>
      <rPr>
        <sz val="10"/>
        <color rgb="FF000000"/>
        <rFont val="맑은 고딕"/>
        <family val="3"/>
        <charset val="129"/>
      </rPr>
      <t xml:space="preserve">/ 4.0 </t>
    </r>
    <r>
      <rPr>
        <sz val="10"/>
        <color rgb="FF000000"/>
        <rFont val="Noto Sans CJK SC"/>
        <family val="2"/>
      </rPr>
      <t xml:space="preserve">통합 </t>
    </r>
    <r>
      <rPr>
        <sz val="10"/>
        <color rgb="FF000000"/>
        <rFont val="맑은 고딕"/>
        <family val="3"/>
        <charset val="129"/>
      </rPr>
      <t xml:space="preserve">/ 5.0 </t>
    </r>
    <r>
      <rPr>
        <sz val="10"/>
        <color rgb="FF000000"/>
        <rFont val="Noto Sans CJK SC"/>
        <family val="2"/>
      </rPr>
      <t>발표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</si>
  <si>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작업은 최대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일 이하로 쪼개기</t>
    </r>
    <r>
      <rPr>
        <sz val="10"/>
        <color rgb="FF000000"/>
        <rFont val="맑은 고딕"/>
        <family val="3"/>
        <charset val="129"/>
      </rPr>
      <t>. 3</t>
    </r>
    <r>
      <rPr>
        <sz val="10"/>
        <color rgb="FF000000"/>
        <rFont val="Noto Sans CJK SC"/>
        <family val="2"/>
      </rPr>
      <t>일 넘어가면 더 작게 나누세요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</si>
  <si>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동사형으로 적기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 xml:space="preserve">로그인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메인 페이지 마크업</t>
    </r>
    <r>
      <rPr>
        <sz val="10"/>
        <color rgb="FF000000"/>
        <rFont val="맑은 고딕"/>
        <family val="3"/>
        <charset val="129"/>
      </rPr>
      <t>'</t>
    </r>
  </si>
  <si>
    <t>❌ DON'T</t>
  </si>
  <si>
    <r>
      <rPr>
        <sz val="10"/>
        <color rgb="FF000000"/>
        <rFont val="Noto Sans CJK SC"/>
        <family val="2"/>
      </rPr>
      <t>너무 추상적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>백엔드 작업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프론트 작업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이런 건 진행률 측정 불가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</si>
  <si>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너무 세분화</t>
    </r>
    <r>
      <rPr>
        <sz val="10"/>
        <color rgb="FF000000"/>
        <rFont val="맑은 고딕"/>
        <family val="3"/>
        <charset val="129"/>
      </rPr>
      <t xml:space="preserve">: 'def login() </t>
    </r>
    <r>
      <rPr>
        <sz val="10"/>
        <color rgb="FF000000"/>
        <rFont val="Noto Sans CJK SC"/>
        <family val="2"/>
      </rPr>
      <t>함수 작성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관리 비용만 증가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</si>
  <si>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사람이 여러 작업을 같은 시간대에 동시 시작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병목 발생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</si>
  <si>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4"/>
        <color rgb="FF1F4E79"/>
        <rFont val="맑은 고딕"/>
        <family val="3"/>
        <charset val="129"/>
      </rPr>
      <t xml:space="preserve">6️⃣ </t>
    </r>
    <r>
      <rPr>
        <b/>
        <sz val="14"/>
        <color rgb="FF1F4E79"/>
        <rFont val="Noto Sans CJK SC"/>
        <family val="2"/>
      </rPr>
      <t>운영 노하우</t>
    </r>
  </si>
  <si>
    <t>📌</t>
  </si>
  <si>
    <r>
      <rPr>
        <sz val="10"/>
        <color rgb="FF000000"/>
        <rFont val="Noto Sans CJK SC"/>
        <family val="2"/>
      </rPr>
      <t>매일 데일리 스크럼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Noto Sans CJK SC"/>
        <family val="2"/>
      </rPr>
      <t>분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때 이 시트를 띄워두고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만 업데이트하세요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</si>
  <si>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맑은 고딕"/>
        <family val="3"/>
        <charset val="129"/>
      </rPr>
      <t>D-2</t>
    </r>
    <r>
      <rPr>
        <sz val="10"/>
        <color rgb="FF000000"/>
        <rFont val="Noto Sans CJK SC"/>
        <family val="2"/>
      </rPr>
      <t xml:space="preserve">일에 </t>
    </r>
    <r>
      <rPr>
        <sz val="10"/>
        <color rgb="FF000000"/>
        <rFont val="맑은 고딕"/>
        <family val="3"/>
        <charset val="129"/>
      </rPr>
      <t xml:space="preserve">freeze. </t>
    </r>
    <r>
      <rPr>
        <sz val="10"/>
        <color rgb="FF000000"/>
        <rFont val="Noto Sans CJK SC"/>
        <family val="2"/>
      </rPr>
      <t>그 이후엔 새 작업 추가 금지</t>
    </r>
    <r>
      <rPr>
        <sz val="10"/>
        <color rgb="FF000000"/>
        <rFont val="맑은 고딕"/>
        <family val="3"/>
        <charset val="129"/>
      </rPr>
      <t>. (</t>
    </r>
    <r>
      <rPr>
        <sz val="10"/>
        <color rgb="FF000000"/>
        <rFont val="Noto Sans CJK SC"/>
        <family val="2"/>
      </rPr>
      <t>오늘 강의에서 강조한 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</si>
  <si>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Won't have</t>
    </r>
    <r>
      <rPr>
        <sz val="10"/>
        <color rgb="FF000000"/>
        <rFont val="Noto Sans CJK SC"/>
        <family val="2"/>
      </rPr>
      <t>로 분류한 작업도 별도 메모로 남기세요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발표 시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추후 계획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활용 가능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</si>
  <si>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노랑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일 연속 지속되면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지연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빨강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>으로 올리고 팀에 공유하세요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</si>
  <si>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'🔵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맑은 고딕"/>
        <family val="3"/>
        <charset val="129"/>
      </rPr>
      <t xml:space="preserve">(AI </t>
    </r>
    <r>
      <rPr>
        <sz val="10"/>
        <color rgb="FF000000"/>
        <rFont val="Noto Sans CJK SC"/>
        <family val="2"/>
      </rPr>
      <t>자소서 코칭</t>
    </r>
    <r>
      <rPr>
        <sz val="10"/>
        <color rgb="FF000000"/>
        <rFont val="맑은 고딕"/>
        <family val="3"/>
        <charset val="129"/>
      </rPr>
      <t xml:space="preserve">)' </t>
    </r>
    <r>
      <rPr>
        <sz val="10"/>
        <color rgb="FF000000"/>
        <rFont val="Noto Sans CJK SC"/>
        <family val="2"/>
      </rPr>
      <t>시트를 먼저 보고 어떻게 채우는지 감을 잡으세요</t>
    </r>
    <r>
      <rPr>
        <sz val="10"/>
        <color rgb="FF000000"/>
        <rFont val="맑은 고딕"/>
        <family val="3"/>
        <charset val="129"/>
      </rPr>
      <t>.</t>
    </r>
  </si>
  <si>
    <t>💡</t>
  </si>
  <si>
    <r>
      <rPr>
        <b/>
        <i/>
        <sz val="11"/>
        <color rgb="FF1F4E79"/>
        <rFont val="Noto Sans CJK SC"/>
        <family val="2"/>
      </rPr>
      <t xml:space="preserve">간트 차트는 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그리는 게 목적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이 아닙니다</t>
    </r>
    <r>
      <rPr>
        <b/>
        <i/>
        <sz val="11"/>
        <color rgb="FF1F4E79"/>
        <rFont val="맑은 고딕"/>
        <family val="3"/>
        <charset val="129"/>
      </rPr>
      <t>. '</t>
    </r>
    <r>
      <rPr>
        <b/>
        <i/>
        <sz val="11"/>
        <color rgb="FF1F4E79"/>
        <rFont val="Noto Sans CJK SC"/>
        <family val="2"/>
      </rPr>
      <t>팀이 같은 그림을 보는 게</t>
    </r>
    <r>
      <rPr>
        <b/>
        <i/>
        <sz val="11"/>
        <color rgb="FF1F4E79"/>
        <rFont val="맑은 고딕"/>
        <family val="3"/>
        <charset val="129"/>
      </rPr>
      <t xml:space="preserve">' </t>
    </r>
    <r>
      <rPr>
        <b/>
        <i/>
        <sz val="11"/>
        <color rgb="FF1F4E79"/>
        <rFont val="Noto Sans CJK SC"/>
        <family val="2"/>
      </rPr>
      <t>목적입니다</t>
    </r>
    <r>
      <rPr>
        <b/>
        <i/>
        <sz val="11"/>
        <color rgb="FF1F4E79"/>
        <rFont val="맑은 고딕"/>
        <family val="3"/>
        <charset val="129"/>
      </rPr>
      <t xml:space="preserve">.
</t>
    </r>
    <r>
      <rPr>
        <b/>
        <i/>
        <sz val="11"/>
        <color rgb="FF1F4E79"/>
        <rFont val="Noto Sans CJK SC"/>
        <family val="2"/>
      </rPr>
      <t>완벽하게 못 채워도 괜찮습니다</t>
    </r>
    <r>
      <rPr>
        <b/>
        <i/>
        <sz val="11"/>
        <color rgb="FF1F4E79"/>
        <rFont val="맑은 고딕"/>
        <family val="3"/>
        <charset val="129"/>
      </rPr>
      <t xml:space="preserve">. </t>
    </r>
    <r>
      <rPr>
        <b/>
        <i/>
        <sz val="11"/>
        <color rgb="FF1F4E79"/>
        <rFont val="Noto Sans CJK SC"/>
        <family val="2"/>
      </rPr>
      <t xml:space="preserve">매일 </t>
    </r>
    <r>
      <rPr>
        <b/>
        <i/>
        <sz val="11"/>
        <color rgb="FF1F4E79"/>
        <rFont val="맑은 고딕"/>
        <family val="3"/>
        <charset val="129"/>
      </rPr>
      <t>5</t>
    </r>
    <r>
      <rPr>
        <b/>
        <i/>
        <sz val="11"/>
        <color rgb="FF1F4E79"/>
        <rFont val="Noto Sans CJK SC"/>
        <family val="2"/>
      </rPr>
      <t xml:space="preserve">분만 업데이트해도 </t>
    </r>
    <r>
      <rPr>
        <b/>
        <i/>
        <sz val="11"/>
        <color rgb="FF1F4E79"/>
        <rFont val="맑은 고딕"/>
        <family val="3"/>
        <charset val="129"/>
      </rPr>
      <t>7</t>
    </r>
    <r>
      <rPr>
        <b/>
        <i/>
        <sz val="11"/>
        <color rgb="FF1F4E79"/>
        <rFont val="Noto Sans CJK SC"/>
        <family val="2"/>
      </rPr>
      <t>일이 살아납니다</t>
    </r>
    <r>
      <rPr>
        <b/>
        <i/>
        <sz val="11"/>
        <color rgb="FF1F4E79"/>
        <rFont val="맑은 고딕"/>
        <family val="3"/>
        <charset val="129"/>
      </rPr>
      <t>.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</si>
  <si>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>간트 차트</t>
    </r>
  </si>
  <si>
    <t>팀  명</t>
  </si>
  <si>
    <r>
      <rPr>
        <b/>
        <sz val="10"/>
        <color rgb="FF595959"/>
        <rFont val="Noto Sans CJK SC"/>
        <family val="2"/>
      </rPr>
      <t xml:space="preserve">담당 </t>
    </r>
    <r>
      <rPr>
        <b/>
        <sz val="10"/>
        <color rgb="FF595959"/>
        <rFont val="맑은 고딕"/>
        <family val="3"/>
        <charset val="129"/>
      </rPr>
      <t>PM</t>
    </r>
  </si>
  <si>
    <t>프로젝트 명</t>
  </si>
  <si>
    <t>작성일</t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</si>
  <si>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시작일</t>
    </r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</si>
  <si>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종료일</t>
    </r>
  </si>
  <si>
    <t>오늘</t>
  </si>
  <si>
    <t>작업 정보</t>
  </si>
  <si>
    <t>Week 1</t>
  </si>
  <si>
    <t>Week 2</t>
  </si>
  <si>
    <r>
      <rPr>
        <b/>
        <sz val="11"/>
        <color rgb="FFFFFFFF"/>
        <rFont val="맑은 고딕"/>
        <family val="3"/>
        <charset val="129"/>
      </rPr>
      <t xml:space="preserve">WBS
</t>
    </r>
    <r>
      <rPr>
        <b/>
        <sz val="11"/>
        <color rgb="FFFFFFFF"/>
        <rFont val="Noto Sans CJK SC"/>
        <family val="2"/>
      </rPr>
      <t>번호</t>
    </r>
  </si>
  <si>
    <t>시작일</t>
  </si>
  <si>
    <t>종료일</t>
  </si>
  <si>
    <r>
      <rPr>
        <b/>
        <sz val="11"/>
        <color rgb="FFFFFFFF"/>
        <rFont val="Noto Sans CJK SC"/>
        <family val="2"/>
      </rPr>
      <t xml:space="preserve">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맑은 고딕"/>
        <family val="3"/>
        <charset val="129"/>
      </rPr>
      <t>)</t>
    </r>
  </si>
  <si>
    <t>Day
1</t>
  </si>
  <si>
    <t>Day
2</t>
  </si>
  <si>
    <t>Day
3</t>
  </si>
  <si>
    <t>Day
4</t>
  </si>
  <si>
    <t>Day
5</t>
  </si>
  <si>
    <t>Day
6</t>
  </si>
  <si>
    <t>Day
7</t>
  </si>
  <si>
    <t>Day
8</t>
  </si>
  <si>
    <t>Day
9</t>
  </si>
  <si>
    <t>Day
10</t>
  </si>
  <si>
    <t>Day
11</t>
  </si>
  <si>
    <t>Day
12</t>
  </si>
  <si>
    <t>Day
13</t>
  </si>
  <si>
    <t>Day
14</t>
  </si>
  <si>
    <t>날짜 →</t>
  </si>
  <si>
    <t>1.0</t>
  </si>
  <si>
    <r>
      <rPr>
        <b/>
        <sz val="11"/>
        <color rgb="FF1F4E79"/>
        <rFont val="맑은 고딕"/>
        <family val="3"/>
        <charset val="129"/>
      </rPr>
      <t xml:space="preserve">🟦 Phase 1. </t>
    </r>
    <r>
      <rPr>
        <b/>
        <sz val="11"/>
        <color rgb="FF1F4E79"/>
        <rFont val="Noto Sans CJK SC"/>
        <family val="2"/>
      </rPr>
      <t>기획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설계</t>
    </r>
  </si>
  <si>
    <t>2.0</t>
  </si>
  <si>
    <r>
      <rPr>
        <b/>
        <sz val="11"/>
        <color rgb="FF1F4E79"/>
        <rFont val="맑은 고딕"/>
        <family val="3"/>
        <charset val="129"/>
      </rPr>
      <t xml:space="preserve">🟩 Phase 2. </t>
    </r>
    <r>
      <rPr>
        <b/>
        <sz val="11"/>
        <color rgb="FF1F4E79"/>
        <rFont val="Noto Sans CJK SC"/>
        <family val="2"/>
      </rPr>
      <t>백엔드 개발</t>
    </r>
  </si>
  <si>
    <t>3.0</t>
  </si>
  <si>
    <r>
      <rPr>
        <b/>
        <sz val="11"/>
        <color rgb="FF1F4E79"/>
        <rFont val="맑은 고딕"/>
        <family val="3"/>
        <charset val="129"/>
      </rPr>
      <t xml:space="preserve">🟧 Phase 3. </t>
    </r>
    <r>
      <rPr>
        <b/>
        <sz val="11"/>
        <color rgb="FF1F4E79"/>
        <rFont val="Noto Sans CJK SC"/>
        <family val="2"/>
      </rPr>
      <t>프론트엔드 개발</t>
    </r>
  </si>
  <si>
    <t>4.0</t>
  </si>
  <si>
    <r>
      <rPr>
        <b/>
        <sz val="11"/>
        <color rgb="FF1F4E79"/>
        <rFont val="맑은 고딕"/>
        <family val="3"/>
        <charset val="129"/>
      </rPr>
      <t xml:space="preserve">🟪 Phase 4. </t>
    </r>
    <r>
      <rPr>
        <b/>
        <sz val="11"/>
        <color rgb="FF1F4E79"/>
        <rFont val="Noto Sans CJK SC"/>
        <family val="2"/>
      </rPr>
      <t>통합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테스트</t>
    </r>
  </si>
  <si>
    <t>5.0</t>
  </si>
  <si>
    <r>
      <rPr>
        <b/>
        <sz val="11"/>
        <color rgb="FF1F4E79"/>
        <rFont val="맑은 고딕"/>
        <family val="3"/>
        <charset val="129"/>
      </rPr>
      <t xml:space="preserve">🟥 Phase 5. </t>
    </r>
    <r>
      <rPr>
        <b/>
        <sz val="11"/>
        <color rgb="FF1F4E79"/>
        <rFont val="Noto Sans CJK SC"/>
        <family val="2"/>
      </rPr>
      <t>발표 준비</t>
    </r>
  </si>
  <si>
    <t>📌 범례</t>
  </si>
  <si>
    <t>시작 전</t>
  </si>
  <si>
    <t>진행 중</t>
  </si>
  <si>
    <r>
      <rPr>
        <sz val="10"/>
        <rFont val="Noto Sans CJK SC"/>
        <family val="2"/>
      </rPr>
      <t>정상 진행 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일정 내 완료 예상</t>
    </r>
  </si>
  <si>
    <t>주의</t>
  </si>
  <si>
    <r>
      <rPr>
        <sz val="10"/>
        <rFont val="Noto Sans CJK SC"/>
        <family val="2"/>
      </rPr>
      <t>지연 가능성 있음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점검 필요</t>
    </r>
  </si>
  <si>
    <t>지연</t>
  </si>
  <si>
    <r>
      <rPr>
        <sz val="10"/>
        <rFont val="Noto Sans CJK SC"/>
        <family val="2"/>
      </rPr>
      <t>일정 초과 또는 차단 상태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즉시 조치</t>
    </r>
  </si>
  <si>
    <t>완료</t>
  </si>
  <si>
    <r>
      <rPr>
        <sz val="10"/>
        <rFont val="Noto Sans CJK SC"/>
        <family val="2"/>
      </rPr>
      <t>작업 완료</t>
    </r>
    <r>
      <rPr>
        <sz val="10"/>
        <rFont val="맑은 고딕"/>
        <family val="3"/>
        <charset val="129"/>
      </rPr>
      <t xml:space="preserve">, PR </t>
    </r>
    <r>
      <rPr>
        <sz val="10"/>
        <rFont val="Noto Sans CJK SC"/>
        <family val="2"/>
      </rPr>
      <t>머지 완료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</si>
  <si>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 xml:space="preserve">간트 차트  —  샘플 </t>
    </r>
    <r>
      <rPr>
        <b/>
        <sz val="18"/>
        <color rgb="FF1F4E79"/>
        <rFont val="맑은 고딕"/>
        <family val="3"/>
        <charset val="129"/>
      </rPr>
      <t xml:space="preserve">(AI </t>
    </r>
    <r>
      <rPr>
        <b/>
        <sz val="18"/>
        <color rgb="FF1F4E79"/>
        <rFont val="Noto Sans CJK SC"/>
        <family val="2"/>
      </rPr>
      <t>자소서 코칭 서비스</t>
    </r>
    <r>
      <rPr>
        <b/>
        <sz val="18"/>
        <color rgb="FF1F4E79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</si>
  <si>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>15</t>
    </r>
    <r>
      <rPr>
        <b/>
        <sz val="11"/>
        <rFont val="Noto Sans CJK SC"/>
        <family val="2"/>
      </rPr>
      <t xml:space="preserve">기 </t>
    </r>
    <r>
      <rPr>
        <b/>
        <sz val="11"/>
        <rFont val="맑은 고딕"/>
        <family val="3"/>
        <charset val="129"/>
      </rPr>
      <t>7</t>
    </r>
    <r>
      <rPr>
        <b/>
        <sz val="11"/>
        <rFont val="Noto Sans CJK SC"/>
        <family val="2"/>
      </rPr>
      <t xml:space="preserve">반 </t>
    </r>
    <r>
      <rPr>
        <b/>
        <sz val="11"/>
        <rFont val="맑은 고딕"/>
        <family val="3"/>
        <charset val="129"/>
      </rPr>
      <t>1</t>
    </r>
    <r>
      <rPr>
        <b/>
        <sz val="11"/>
        <rFont val="Noto Sans CJK SC"/>
        <family val="2"/>
      </rPr>
      <t>팀</t>
    </r>
  </si>
  <si>
    <t>김민수</t>
  </si>
  <si>
    <r>
      <rPr>
        <b/>
        <sz val="11"/>
        <rFont val="맑은 고딕"/>
        <family val="3"/>
        <charset val="129"/>
      </rPr>
      <t xml:space="preserve">AI </t>
    </r>
    <r>
      <rPr>
        <b/>
        <sz val="11"/>
        <rFont val="Noto Sans CJK SC"/>
        <family val="2"/>
      </rPr>
      <t xml:space="preserve">자소서 코칭 서비스 </t>
    </r>
    <r>
      <rPr>
        <b/>
        <sz val="11"/>
        <rFont val="맑은 고딕"/>
        <family val="3"/>
        <charset val="129"/>
      </rPr>
      <t>(Resume-Master)</t>
    </r>
  </si>
  <si>
    <t>1.1</t>
  </si>
  <si>
    <r>
      <rPr>
        <sz val="10"/>
        <rFont val="Noto Sans CJK SC"/>
        <family val="2"/>
      </rPr>
      <t xml:space="preserve">문제 정의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사용자 스토리 작성</t>
    </r>
  </si>
  <si>
    <t>1.2</t>
  </si>
  <si>
    <r>
      <rPr>
        <sz val="10"/>
        <rFont val="맑은 고딕"/>
        <family val="3"/>
        <charset val="129"/>
      </rPr>
      <t xml:space="preserve">ERD </t>
    </r>
    <r>
      <rPr>
        <sz val="10"/>
        <rFont val="Noto Sans CJK SC"/>
        <family val="2"/>
      </rPr>
      <t>설계</t>
    </r>
  </si>
  <si>
    <t>이지현</t>
  </si>
  <si>
    <t>1.3</t>
  </si>
  <si>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명세서 작성</t>
    </r>
  </si>
  <si>
    <t>박서준</t>
  </si>
  <si>
    <t>1.4</t>
  </si>
  <si>
    <r>
      <rPr>
        <sz val="10"/>
        <rFont val="Noto Sans CJK SC"/>
        <family val="2"/>
      </rPr>
      <t xml:space="preserve">와이어프레임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화면 설계</t>
    </r>
  </si>
  <si>
    <t>최유나</t>
  </si>
  <si>
    <t>2.1</t>
  </si>
  <si>
    <r>
      <rPr>
        <sz val="10"/>
        <rFont val="맑은 고딕"/>
        <family val="3"/>
        <charset val="129"/>
      </rPr>
      <t xml:space="preserve">Django </t>
    </r>
    <r>
      <rPr>
        <sz val="10"/>
        <rFont val="Noto Sans CJK SC"/>
        <family val="2"/>
      </rPr>
      <t>프로젝트 초기 세팅</t>
    </r>
  </si>
  <si>
    <t>2.2</t>
  </si>
  <si>
    <r>
      <rPr>
        <sz val="10"/>
        <rFont val="맑은 고딕"/>
        <family val="3"/>
        <charset val="129"/>
      </rPr>
      <t xml:space="preserve">User 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인증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</si>
  <si>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2.3</t>
  </si>
  <si>
    <r>
      <rPr>
        <sz val="10"/>
        <rFont val="맑은 고딕"/>
        <family val="3"/>
        <charset val="129"/>
      </rPr>
      <t xml:space="preserve">Resume CRUD API </t>
    </r>
    <r>
      <rPr>
        <sz val="10"/>
        <rFont val="Noto Sans CJK SC"/>
        <family val="2"/>
      </rPr>
      <t>구현</t>
    </r>
  </si>
  <si>
    <t>2.1,1.3</t>
  </si>
  <si>
    <t>2.4</t>
  </si>
  <si>
    <r>
      <rPr>
        <sz val="10"/>
        <rFont val="맑은 고딕"/>
        <family val="3"/>
        <charset val="129"/>
      </rPr>
      <t xml:space="preserve">OpenAI </t>
    </r>
    <r>
      <rPr>
        <sz val="10"/>
        <rFont val="Noto Sans CJK SC"/>
        <family val="2"/>
      </rPr>
      <t xml:space="preserve">연동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코칭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</si>
  <si>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2.2,2.3</t>
  </si>
  <si>
    <t>2.5</t>
  </si>
  <si>
    <t>백엔드 단위 테스트</t>
  </si>
  <si>
    <t>3.1</t>
  </si>
  <si>
    <r>
      <rPr>
        <sz val="10"/>
        <rFont val="맑은 고딕"/>
        <family val="3"/>
        <charset val="129"/>
      </rPr>
      <t xml:space="preserve">Vue </t>
    </r>
    <r>
      <rPr>
        <sz val="10"/>
        <rFont val="Noto Sans CJK SC"/>
        <family val="2"/>
      </rPr>
      <t>프로젝트 초기 세팅</t>
    </r>
  </si>
  <si>
    <t>3.2</t>
  </si>
  <si>
    <r>
      <rPr>
        <sz val="10"/>
        <rFont val="Noto Sans CJK SC"/>
        <family val="2"/>
      </rPr>
      <t xml:space="preserve">로그인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회원가입 페이지</t>
    </r>
  </si>
  <si>
    <t>3.3</t>
  </si>
  <si>
    <t>자소서 작성 페이지</t>
  </si>
  <si>
    <t>3.1,1.4</t>
  </si>
  <si>
    <t>3.4</t>
  </si>
  <si>
    <t>코칭 결과 페이지</t>
  </si>
  <si>
    <t>4.1</t>
  </si>
  <si>
    <r>
      <rPr>
        <sz val="10"/>
        <rFont val="맑은 고딕"/>
        <family val="3"/>
        <charset val="129"/>
      </rPr>
      <t xml:space="preserve">Frontend ↔ Backend </t>
    </r>
    <r>
      <rPr>
        <sz val="10"/>
        <rFont val="Noto Sans CJK SC"/>
        <family val="2"/>
      </rPr>
      <t>통합</t>
    </r>
  </si>
  <si>
    <t>2.5,3.4</t>
  </si>
  <si>
    <t>4.2</t>
  </si>
  <si>
    <t>시나리오 통합 테스트</t>
  </si>
  <si>
    <t>4.3</t>
  </si>
  <si>
    <r>
      <rPr>
        <sz val="10"/>
        <rFont val="Noto Sans CJK SC"/>
        <family val="2"/>
      </rPr>
      <t xml:space="preserve">버그 픽스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리팩토링</t>
    </r>
  </si>
  <si>
    <t>5.1</t>
  </si>
  <si>
    <t>발표 자료 작성</t>
  </si>
  <si>
    <t>5.2</t>
  </si>
  <si>
    <t>시연 시나리오 리허설</t>
  </si>
  <si>
    <t>5.3</t>
  </si>
  <si>
    <r>
      <rPr>
        <sz val="10"/>
        <rFont val="Noto Sans CJK SC"/>
        <family val="2"/>
      </rPr>
      <t xml:space="preserve">최종 발표 </t>
    </r>
    <r>
      <rPr>
        <sz val="10"/>
        <rFont val="맑은 고딕"/>
        <family val="3"/>
        <charset val="129"/>
      </rPr>
      <t>(D-Day)</t>
    </r>
  </si>
  <si>
    <r>
      <t>7~14</t>
    </r>
    <r>
      <rPr>
        <i/>
        <sz val="11"/>
        <color rgb="FF595959"/>
        <rFont val="Noto Sans CJK SC"/>
        <family val="2"/>
      </rPr>
      <t xml:space="preserve">일짜리 </t>
    </r>
    <r>
      <rPr>
        <i/>
        <sz val="11"/>
        <color rgb="FF595959"/>
        <rFont val="맑은 고딕"/>
        <family val="3"/>
        <charset val="129"/>
      </rPr>
      <t>PJT</t>
    </r>
    <r>
      <rPr>
        <i/>
        <sz val="11"/>
        <color rgb="FF595959"/>
        <rFont val="Noto Sans CJK SC"/>
        <family val="2"/>
      </rPr>
      <t>의 일정</t>
    </r>
    <r>
      <rPr>
        <i/>
        <sz val="11"/>
        <color rgb="FF595959"/>
        <rFont val="맑은 고딕"/>
        <family val="3"/>
        <charset val="129"/>
      </rPr>
      <t>·</t>
    </r>
    <r>
      <rPr>
        <i/>
        <sz val="11"/>
        <color rgb="FF595959"/>
        <rFont val="Noto Sans CJK SC"/>
        <family val="2"/>
      </rPr>
      <t>진행 상황을 한눈에 보기 위한 도구이며 샘플 데이터이기 때문에 참고용으로 활용 바랍니다.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</si>
</sst>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/d"/>
    <numFmt numFmtId="178" formatCode="mm\-dd"/>
  </numFmts>
  <fonts count="32">
    <font>
      <sz val="11"/>
      <color theme="1"/>
      <name val="Calibri"/>
      <family val="2"/>
      <charset val="1"/>
    </font>
    <font>
      <b/>
      <sz val="20"/>
      <color rgb="FF1F4E79"/>
      <name val="Noto Sans CJK SC"/>
      <family val="2"/>
    </font>
    <font>
      <b/>
      <sz val="20"/>
      <color rgb="FF1F4E79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i/>
      <sz val="11"/>
      <color rgb="FF595959"/>
      <name val="Noto Sans CJK SC"/>
      <family val="2"/>
    </font>
    <font>
      <b/>
      <sz val="14"/>
      <color rgb="FF1F4E79"/>
      <name val="맑은 고딕"/>
      <family val="3"/>
      <charset val="129"/>
    </font>
    <font>
      <b/>
      <sz val="14"/>
      <color rgb="FF1F4E79"/>
      <name val="Noto Sans CJK SC"/>
      <family val="2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595959"/>
      <name val="Noto Sans CJK SC"/>
      <family val="2"/>
    </font>
    <font>
      <sz val="14"/>
      <name val="Cambria"/>
      <family val="1"/>
    </font>
    <font>
      <b/>
      <i/>
      <sz val="11"/>
      <color rgb="FF1F4E79"/>
      <name val="Noto Sans CJK SC"/>
      <family val="2"/>
    </font>
    <font>
      <b/>
      <i/>
      <sz val="11"/>
      <color rgb="FF1F4E79"/>
      <name val="맑은 고딕"/>
      <family val="3"/>
      <charset val="129"/>
    </font>
    <font>
      <b/>
      <sz val="18"/>
      <color rgb="FF1F4E79"/>
      <name val="Noto Sans CJK SC"/>
      <family val="2"/>
    </font>
    <font>
      <b/>
      <sz val="18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color rgb="FF1F4E79"/>
      <name val="Noto Sans CJK SC"/>
      <family val="2"/>
    </font>
    <font>
      <sz val="10"/>
      <name val="맑은 고딕"/>
      <family val="3"/>
      <charset val="129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b/>
      <sz val="11"/>
      <name val="Noto Sans CJK SC"/>
      <family val="2"/>
    </font>
    <font>
      <sz val="8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2F5496"/>
        <bgColor rgb="FF1F4E79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F2F2F2"/>
      </patternFill>
    </fill>
    <fill>
      <patternFill patternType="solid">
        <fgColor rgb="FFD9D9D9"/>
        <bgColor rgb="FFDEEBF7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FD966"/>
      </patternFill>
    </fill>
    <fill>
      <patternFill patternType="solid">
        <fgColor rgb="FF8FAADC"/>
        <bgColor rgb="FF9DC3E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1" fillId="13" borderId="0" applyNumberFormat="0" applyBorder="0" applyAlignment="0" applyProtection="0">
      <alignment vertical="center"/>
    </xf>
  </cellStyleXfs>
  <cellXfs count="44">
    <xf numFmtId="0" fontId="0" fillId="0" borderId="0" xfId="0"/>
    <xf numFmtId="0" fontId="19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7" fontId="23" fillId="3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1"/>
    </xf>
    <xf numFmtId="9" fontId="17" fillId="7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indent="1"/>
    </xf>
    <xf numFmtId="9" fontId="25" fillId="0" borderId="1" xfId="0" applyNumberFormat="1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28" fillId="0" borderId="0" xfId="0" applyFont="1" applyAlignment="1">
      <alignment horizontal="left" vertical="center" indent="1"/>
    </xf>
    <xf numFmtId="0" fontId="20" fillId="6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right" vertical="center"/>
    </xf>
    <xf numFmtId="0" fontId="26" fillId="0" borderId="0" xfId="0" applyFont="1"/>
    <xf numFmtId="176" fontId="17" fillId="0" borderId="0" xfId="0" applyNumberFormat="1" applyFont="1" applyAlignment="1">
      <alignment horizontal="left" vertical="center"/>
    </xf>
    <xf numFmtId="176" fontId="18" fillId="0" borderId="0" xfId="0" applyNumberFormat="1" applyFont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76" fontId="16" fillId="0" borderId="0" xfId="0" applyNumberFormat="1" applyFont="1" applyAlignment="1">
      <alignment vertical="center"/>
    </xf>
    <xf numFmtId="0" fontId="31" fillId="13" borderId="1" xfId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28"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B9BD5"/>
      <rgbColor rgb="FF8FAADC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A8D08D"/>
      <rgbColor rgb="FFFFE699"/>
      <rgbColor rgb="FF9DC3E6"/>
      <rgbColor rgb="FFF4B084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1F4E79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52"/>
  <sheetViews>
    <sheetView showGridLines="0" topLeftCell="A43" zoomScaleNormal="100" workbookViewId="0">
      <selection activeCell="C30" sqref="C30"/>
    </sheetView>
  </sheetViews>
  <sheetFormatPr defaultColWidth="8.42578125" defaultRowHeight="15"/>
  <cols>
    <col min="1" max="1" width="3" customWidth="1"/>
    <col min="2" max="2" width="22" customWidth="1"/>
    <col min="3" max="3" width="80" customWidth="1"/>
  </cols>
  <sheetData>
    <row r="2" spans="2:3" ht="36" customHeight="1">
      <c r="B2" s="29" t="s">
        <v>0</v>
      </c>
      <c r="C2" s="29"/>
    </row>
    <row r="3" spans="2:3" ht="16.5">
      <c r="B3" s="30" t="s">
        <v>165</v>
      </c>
      <c r="C3" s="30"/>
    </row>
    <row r="5" spans="2:3" ht="24" customHeight="1">
      <c r="B5" s="28" t="s">
        <v>1</v>
      </c>
      <c r="C5" s="28"/>
    </row>
    <row r="6" spans="2:3" ht="19.5" customHeight="1">
      <c r="B6" s="2"/>
      <c r="C6" s="3" t="s">
        <v>2</v>
      </c>
    </row>
    <row r="7" spans="2:3" ht="19.5" customHeight="1">
      <c r="B7" s="2"/>
      <c r="C7" s="4" t="s">
        <v>3</v>
      </c>
    </row>
    <row r="8" spans="2:3" ht="19.5" customHeight="1">
      <c r="B8" s="2"/>
      <c r="C8" s="4" t="s">
        <v>4</v>
      </c>
    </row>
    <row r="10" spans="2:3" ht="24" customHeight="1">
      <c r="B10" s="28" t="s">
        <v>5</v>
      </c>
      <c r="C10" s="28"/>
    </row>
    <row r="11" spans="2:3" ht="19.5" customHeight="1">
      <c r="B11" s="2" t="s">
        <v>6</v>
      </c>
      <c r="C11" s="3" t="s">
        <v>7</v>
      </c>
    </row>
    <row r="12" spans="2:3" ht="19.5" customHeight="1">
      <c r="B12" s="2" t="s">
        <v>8</v>
      </c>
      <c r="C12" s="4" t="s">
        <v>9</v>
      </c>
    </row>
    <row r="13" spans="2:3" ht="19.5" customHeight="1">
      <c r="B13" s="2" t="s">
        <v>10</v>
      </c>
      <c r="C13" s="4" t="s">
        <v>11</v>
      </c>
    </row>
    <row r="14" spans="2:3" ht="19.5" customHeight="1">
      <c r="B14" s="2" t="s">
        <v>12</v>
      </c>
      <c r="C14" s="3" t="s">
        <v>13</v>
      </c>
    </row>
    <row r="15" spans="2:3" ht="19.5" customHeight="1">
      <c r="B15" s="2" t="s">
        <v>14</v>
      </c>
      <c r="C15" s="4" t="s">
        <v>15</v>
      </c>
    </row>
    <row r="16" spans="2:3" ht="19.5" customHeight="1">
      <c r="B16" s="2" t="s">
        <v>16</v>
      </c>
      <c r="C16" s="4" t="s">
        <v>17</v>
      </c>
    </row>
    <row r="17" spans="2:3" ht="19.5" customHeight="1">
      <c r="B17" s="2" t="s">
        <v>18</v>
      </c>
      <c r="C17" s="3" t="s">
        <v>19</v>
      </c>
    </row>
    <row r="19" spans="2:3" ht="24" customHeight="1">
      <c r="B19" s="28" t="s">
        <v>20</v>
      </c>
      <c r="C19" s="28"/>
    </row>
    <row r="20" spans="2:3" ht="19.5" customHeight="1">
      <c r="B20" s="2" t="s">
        <v>21</v>
      </c>
      <c r="C20" s="4" t="s">
        <v>22</v>
      </c>
    </row>
    <row r="21" spans="2:3" ht="19.5" customHeight="1">
      <c r="B21" s="5" t="s">
        <v>23</v>
      </c>
      <c r="C21" s="4" t="s">
        <v>24</v>
      </c>
    </row>
    <row r="22" spans="2:3" ht="19.5" customHeight="1">
      <c r="B22" s="5" t="s">
        <v>25</v>
      </c>
      <c r="C22" s="4" t="s">
        <v>26</v>
      </c>
    </row>
    <row r="23" spans="2:3" ht="19.5" customHeight="1">
      <c r="B23" s="5" t="s">
        <v>27</v>
      </c>
      <c r="C23" s="3" t="s">
        <v>28</v>
      </c>
    </row>
    <row r="24" spans="2:3" ht="19.5" customHeight="1">
      <c r="B24" s="5" t="s">
        <v>29</v>
      </c>
      <c r="C24" s="4" t="s">
        <v>30</v>
      </c>
    </row>
    <row r="25" spans="2:3" ht="19.5" customHeight="1">
      <c r="B25" s="5" t="s">
        <v>31</v>
      </c>
      <c r="C25" s="3" t="s">
        <v>32</v>
      </c>
    </row>
    <row r="26" spans="2:3" ht="19.5" customHeight="1">
      <c r="B26" s="5" t="s">
        <v>33</v>
      </c>
      <c r="C26" s="4" t="s">
        <v>34</v>
      </c>
    </row>
    <row r="27" spans="2:3" ht="19.5" customHeight="1">
      <c r="B27" s="5" t="s">
        <v>35</v>
      </c>
      <c r="C27" s="4" t="s">
        <v>36</v>
      </c>
    </row>
    <row r="29" spans="2:3" ht="24" customHeight="1">
      <c r="B29" s="28" t="s">
        <v>37</v>
      </c>
      <c r="C29" s="28"/>
    </row>
    <row r="30" spans="2:3" ht="19.5" customHeight="1">
      <c r="B30" s="5" t="s">
        <v>38</v>
      </c>
      <c r="C30" s="4" t="s">
        <v>39</v>
      </c>
    </row>
    <row r="31" spans="2:3" ht="19.5" customHeight="1">
      <c r="B31" s="5" t="s">
        <v>40</v>
      </c>
      <c r="C31" s="4" t="s">
        <v>41</v>
      </c>
    </row>
    <row r="32" spans="2:3" ht="19.5" customHeight="1">
      <c r="B32" s="5" t="s">
        <v>42</v>
      </c>
      <c r="C32" s="4" t="s">
        <v>43</v>
      </c>
    </row>
    <row r="33" spans="2:3" ht="19.5" customHeight="1">
      <c r="B33" s="5" t="s">
        <v>44</v>
      </c>
      <c r="C33" s="4" t="s">
        <v>45</v>
      </c>
    </row>
    <row r="34" spans="2:3" ht="19.5" customHeight="1">
      <c r="B34" s="5" t="s">
        <v>46</v>
      </c>
      <c r="C34" s="4" t="s">
        <v>47</v>
      </c>
    </row>
    <row r="36" spans="2:3" ht="24" customHeight="1">
      <c r="B36" s="28" t="s">
        <v>48</v>
      </c>
      <c r="C36" s="28"/>
    </row>
    <row r="37" spans="2:3" ht="19.5" customHeight="1">
      <c r="B37" s="2" t="s">
        <v>49</v>
      </c>
      <c r="C37" s="3" t="s">
        <v>50</v>
      </c>
    </row>
    <row r="38" spans="2:3" ht="19.5" customHeight="1">
      <c r="B38" s="2" t="s">
        <v>49</v>
      </c>
      <c r="C38" s="4" t="s">
        <v>51</v>
      </c>
    </row>
    <row r="39" spans="2:3" ht="19.5" customHeight="1">
      <c r="B39" s="2" t="s">
        <v>49</v>
      </c>
      <c r="C39" s="4" t="s">
        <v>52</v>
      </c>
    </row>
    <row r="40" spans="2:3" ht="19.5" customHeight="1">
      <c r="B40" s="2" t="s">
        <v>53</v>
      </c>
      <c r="C40" s="4" t="s">
        <v>54</v>
      </c>
    </row>
    <row r="41" spans="2:3" ht="19.5" customHeight="1">
      <c r="B41" s="2" t="s">
        <v>53</v>
      </c>
      <c r="C41" s="4" t="s">
        <v>55</v>
      </c>
    </row>
    <row r="42" spans="2:3" ht="19.5" customHeight="1">
      <c r="B42" s="2" t="s">
        <v>53</v>
      </c>
      <c r="C42" s="4" t="s">
        <v>56</v>
      </c>
    </row>
    <row r="44" spans="2:3" ht="24" customHeight="1">
      <c r="B44" s="28" t="s">
        <v>57</v>
      </c>
      <c r="C44" s="28"/>
    </row>
    <row r="45" spans="2:3" ht="19.5" customHeight="1">
      <c r="B45" s="2" t="s">
        <v>58</v>
      </c>
      <c r="C45" s="4" t="s">
        <v>59</v>
      </c>
    </row>
    <row r="46" spans="2:3" ht="19.5" customHeight="1">
      <c r="B46" s="2" t="s">
        <v>58</v>
      </c>
      <c r="C46" s="4" t="s">
        <v>60</v>
      </c>
    </row>
    <row r="47" spans="2:3" ht="19.5" customHeight="1">
      <c r="B47" s="2" t="s">
        <v>58</v>
      </c>
      <c r="C47" s="3" t="s">
        <v>61</v>
      </c>
    </row>
    <row r="48" spans="2:3" ht="19.5" customHeight="1">
      <c r="B48" s="2" t="s">
        <v>58</v>
      </c>
      <c r="C48" s="3" t="s">
        <v>62</v>
      </c>
    </row>
    <row r="49" spans="2:3" ht="19.5" customHeight="1">
      <c r="B49" s="2" t="s">
        <v>58</v>
      </c>
      <c r="C49" s="3" t="s">
        <v>63</v>
      </c>
    </row>
    <row r="52" spans="2:3" ht="49.5" customHeight="1">
      <c r="B52" s="6" t="s">
        <v>64</v>
      </c>
      <c r="C52" s="7" t="s">
        <v>65</v>
      </c>
    </row>
  </sheetData>
  <mergeCells count="8">
    <mergeCell ref="B29:C29"/>
    <mergeCell ref="B36:C36"/>
    <mergeCell ref="B44:C44"/>
    <mergeCell ref="B2:C2"/>
    <mergeCell ref="B3:C3"/>
    <mergeCell ref="B5:C5"/>
    <mergeCell ref="B10:C10"/>
    <mergeCell ref="B19:C19"/>
  </mergeCells>
  <phoneticPr fontId="30" type="noConversion"/>
  <pageMargins left="0.4" right="0.4" top="0.5" bottom="0.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2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AE11" sqref="AE11"/>
    </sheetView>
  </sheetViews>
  <sheetFormatPr defaultColWidth="8.42578125" defaultRowHeight="15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2578125" customWidth="1"/>
  </cols>
  <sheetData>
    <row r="1" spans="1:23" ht="31.5" customHeight="1">
      <c r="A1" s="39" t="s">
        <v>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3" spans="1:23" ht="16.5">
      <c r="A3" s="8" t="s">
        <v>67</v>
      </c>
      <c r="B3" s="40"/>
      <c r="C3" s="40"/>
      <c r="D3" s="40"/>
      <c r="E3" s="40"/>
      <c r="F3" s="40"/>
      <c r="G3" s="8" t="s">
        <v>68</v>
      </c>
      <c r="H3" s="40"/>
      <c r="I3" s="40"/>
    </row>
    <row r="4" spans="1:23" ht="16.5">
      <c r="A4" s="8" t="s">
        <v>69</v>
      </c>
      <c r="B4" s="40"/>
      <c r="C4" s="40"/>
      <c r="D4" s="40"/>
      <c r="E4" s="40"/>
      <c r="F4" s="40"/>
      <c r="G4" s="8" t="s">
        <v>70</v>
      </c>
      <c r="H4" s="40"/>
      <c r="I4" s="40"/>
    </row>
    <row r="5" spans="1:23" ht="16.5">
      <c r="A5" s="9" t="s">
        <v>71</v>
      </c>
      <c r="B5" s="35"/>
      <c r="C5" s="35"/>
      <c r="D5" s="9" t="s">
        <v>72</v>
      </c>
      <c r="E5" s="35" t="str">
        <f>IF(B5="","",B5+13)</f>
        <v/>
      </c>
      <c r="F5" s="35"/>
      <c r="G5" s="8" t="s">
        <v>73</v>
      </c>
      <c r="H5" s="36">
        <f ca="1">TODAY()</f>
        <v>46150</v>
      </c>
      <c r="I5" s="36"/>
    </row>
    <row r="7" spans="1:23" ht="21.75" customHeight="1">
      <c r="A7" s="37" t="s">
        <v>74</v>
      </c>
      <c r="B7" s="37"/>
      <c r="C7" s="37"/>
      <c r="D7" s="37"/>
      <c r="E7" s="37"/>
      <c r="F7" s="37"/>
      <c r="G7" s="37"/>
      <c r="H7" s="37"/>
      <c r="I7" s="37"/>
      <c r="J7" s="38" t="s">
        <v>75</v>
      </c>
      <c r="K7" s="38"/>
      <c r="L7" s="38"/>
      <c r="M7" s="38"/>
      <c r="N7" s="38"/>
      <c r="O7" s="38"/>
      <c r="P7" s="38"/>
      <c r="Q7" s="32" t="s">
        <v>76</v>
      </c>
      <c r="R7" s="32"/>
      <c r="S7" s="32"/>
      <c r="T7" s="32"/>
      <c r="U7" s="32"/>
      <c r="V7" s="32"/>
      <c r="W7" s="32"/>
    </row>
    <row r="8" spans="1:23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</row>
    <row r="9" spans="1:23" ht="18" customHeight="1">
      <c r="A9" s="33" t="s">
        <v>95</v>
      </c>
      <c r="B9" s="33"/>
      <c r="C9" s="33"/>
      <c r="D9" s="33"/>
      <c r="E9" s="33"/>
      <c r="F9" s="33"/>
      <c r="G9" s="33"/>
      <c r="H9" s="33"/>
      <c r="I9" s="33"/>
      <c r="J9" s="12" t="str">
        <f>IF($B$5="","",$B$5+0)</f>
        <v/>
      </c>
      <c r="K9" s="12" t="str">
        <f>IF($B$5="","",$B$5+1)</f>
        <v/>
      </c>
      <c r="L9" s="12" t="str">
        <f>IF($B$5="","",$B$5+2)</f>
        <v/>
      </c>
      <c r="M9" s="12" t="str">
        <f>IF($B$5="","",$B$5+3)</f>
        <v/>
      </c>
      <c r="N9" s="12" t="str">
        <f>IF($B$5="","",$B$5+4)</f>
        <v/>
      </c>
      <c r="O9" s="12" t="str">
        <f>IF($B$5="","",$B$5+5)</f>
        <v/>
      </c>
      <c r="P9" s="12" t="str">
        <f>IF($B$5="","",$B$5+6)</f>
        <v/>
      </c>
      <c r="Q9" s="12" t="str">
        <f>IF($B$5="","",$B$5+7)</f>
        <v/>
      </c>
      <c r="R9" s="12" t="str">
        <f>IF($B$5="","",$B$5+8)</f>
        <v/>
      </c>
      <c r="S9" s="12" t="str">
        <f>IF($B$5="","",$B$5+9)</f>
        <v/>
      </c>
      <c r="T9" s="12" t="str">
        <f>IF($B$5="","",$B$5+10)</f>
        <v/>
      </c>
      <c r="U9" s="12" t="str">
        <f>IF($B$5="","",$B$5+11)</f>
        <v/>
      </c>
      <c r="V9" s="12" t="str">
        <f>IF($B$5="","",$B$5+12)</f>
        <v/>
      </c>
      <c r="W9" s="12" t="str">
        <f>IF($B$5="","",$B$5+13)</f>
        <v/>
      </c>
    </row>
    <row r="10" spans="1:23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/>
      <c r="B11" s="17"/>
      <c r="C11" s="16"/>
      <c r="D11" s="16"/>
      <c r="E11" s="16"/>
      <c r="F11" s="16"/>
      <c r="G11" s="18"/>
      <c r="H11" s="16"/>
      <c r="I11" s="16"/>
      <c r="J11" s="43"/>
      <c r="K11" s="43"/>
      <c r="L11" s="43"/>
      <c r="M11" s="43"/>
      <c r="N11" s="43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/>
      <c r="B12" s="17"/>
      <c r="C12" s="16"/>
      <c r="D12" s="16"/>
      <c r="E12" s="16"/>
      <c r="F12" s="16"/>
      <c r="G12" s="18"/>
      <c r="H12" s="16"/>
      <c r="I12" s="16"/>
      <c r="J12" s="16"/>
      <c r="K12" s="16"/>
      <c r="L12" s="43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/>
      <c r="B13" s="17"/>
      <c r="C13" s="16"/>
      <c r="D13" s="16"/>
      <c r="E13" s="16"/>
      <c r="F13" s="16"/>
      <c r="G13" s="18"/>
      <c r="H13" s="16"/>
      <c r="I13" s="16"/>
      <c r="J13" s="16"/>
      <c r="K13" s="43"/>
      <c r="L13" s="43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/>
      <c r="B14" s="17"/>
      <c r="C14" s="16"/>
      <c r="D14" s="16"/>
      <c r="E14" s="16"/>
      <c r="F14" s="16"/>
      <c r="G14" s="18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98</v>
      </c>
      <c r="B15" s="14" t="s">
        <v>99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/>
      <c r="B16" s="17"/>
      <c r="C16" s="16"/>
      <c r="D16" s="16"/>
      <c r="E16" s="16"/>
      <c r="F16" s="16"/>
      <c r="G16" s="18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/>
      <c r="B17" s="17"/>
      <c r="C17" s="16"/>
      <c r="D17" s="16"/>
      <c r="E17" s="16"/>
      <c r="F17" s="16"/>
      <c r="G17" s="18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/>
      <c r="B18" s="17"/>
      <c r="C18" s="16"/>
      <c r="D18" s="16"/>
      <c r="E18" s="16"/>
      <c r="F18" s="16"/>
      <c r="G18" s="18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/>
      <c r="B19" s="17"/>
      <c r="C19" s="16"/>
      <c r="D19" s="16"/>
      <c r="E19" s="16"/>
      <c r="F19" s="16"/>
      <c r="G19" s="18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3" t="s">
        <v>100</v>
      </c>
      <c r="B20" s="14" t="s">
        <v>101</v>
      </c>
      <c r="C20" s="13"/>
      <c r="D20" s="13"/>
      <c r="E20" s="13"/>
      <c r="F20" s="13"/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21.75" customHeight="1">
      <c r="A21" s="16"/>
      <c r="B21" s="17"/>
      <c r="C21" s="16"/>
      <c r="D21" s="16"/>
      <c r="E21" s="16"/>
      <c r="F21" s="16"/>
      <c r="G21" s="18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21.75" customHeight="1">
      <c r="A22" s="16"/>
      <c r="B22" s="17"/>
      <c r="C22" s="16"/>
      <c r="D22" s="16"/>
      <c r="E22" s="16"/>
      <c r="F22" s="16"/>
      <c r="G22" s="18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/>
      <c r="B23" s="17"/>
      <c r="C23" s="16"/>
      <c r="D23" s="16"/>
      <c r="E23" s="16"/>
      <c r="F23" s="16"/>
      <c r="G23" s="18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/>
      <c r="B24" s="17"/>
      <c r="C24" s="16"/>
      <c r="D24" s="16"/>
      <c r="E24" s="16"/>
      <c r="F24" s="16"/>
      <c r="G24" s="18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3" t="s">
        <v>102</v>
      </c>
      <c r="B25" s="14" t="s">
        <v>103</v>
      </c>
      <c r="C25" s="13"/>
      <c r="D25" s="13"/>
      <c r="E25" s="13"/>
      <c r="F25" s="13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21.75" customHeight="1">
      <c r="A26" s="16"/>
      <c r="B26" s="17"/>
      <c r="C26" s="16"/>
      <c r="D26" s="16"/>
      <c r="E26" s="16"/>
      <c r="F26" s="16"/>
      <c r="G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21.75" customHeight="1">
      <c r="A27" s="16"/>
      <c r="B27" s="17"/>
      <c r="C27" s="16"/>
      <c r="D27" s="16"/>
      <c r="E27" s="16"/>
      <c r="F27" s="16"/>
      <c r="G27" s="18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/>
      <c r="B28" s="17"/>
      <c r="C28" s="16"/>
      <c r="D28" s="16"/>
      <c r="E28" s="16"/>
      <c r="F28" s="16"/>
      <c r="G28" s="18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/>
      <c r="B29" s="17"/>
      <c r="C29" s="16"/>
      <c r="D29" s="16"/>
      <c r="E29" s="16"/>
      <c r="F29" s="16"/>
      <c r="G29" s="18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104</v>
      </c>
      <c r="B30" s="14" t="s">
        <v>105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/>
      <c r="B31" s="17"/>
      <c r="C31" s="16"/>
      <c r="D31" s="16"/>
      <c r="E31" s="16"/>
      <c r="F31" s="16"/>
      <c r="G31" s="18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/>
      <c r="B32" s="17"/>
      <c r="C32" s="16"/>
      <c r="D32" s="16"/>
      <c r="E32" s="16"/>
      <c r="F32" s="16"/>
      <c r="G32" s="18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/>
      <c r="B33" s="17"/>
      <c r="C33" s="16"/>
      <c r="D33" s="16"/>
      <c r="E33" s="16"/>
      <c r="F33" s="16"/>
      <c r="G33" s="18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21.75" customHeight="1">
      <c r="A34" s="16"/>
      <c r="B34" s="17"/>
      <c r="C34" s="16"/>
      <c r="D34" s="16"/>
      <c r="E34" s="16"/>
      <c r="F34" s="16"/>
      <c r="G34" s="18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7" spans="1:23" ht="15.75">
      <c r="A37" s="34" t="s">
        <v>106</v>
      </c>
      <c r="B37" s="34"/>
      <c r="C37" s="34"/>
      <c r="D37" s="34"/>
    </row>
    <row r="38" spans="1:23">
      <c r="A38" s="19" t="s">
        <v>107</v>
      </c>
      <c r="B38" s="31" t="s">
        <v>39</v>
      </c>
      <c r="C38" s="31"/>
      <c r="D38" s="31"/>
      <c r="E38" s="31"/>
      <c r="F38" s="31"/>
      <c r="G38" s="31"/>
      <c r="H38" s="31"/>
      <c r="I38" s="31"/>
    </row>
    <row r="39" spans="1:23">
      <c r="A39" s="20" t="s">
        <v>108</v>
      </c>
      <c r="B39" s="31" t="s">
        <v>109</v>
      </c>
      <c r="C39" s="31"/>
      <c r="D39" s="31"/>
      <c r="E39" s="31"/>
      <c r="F39" s="31"/>
      <c r="G39" s="31"/>
      <c r="H39" s="31"/>
      <c r="I39" s="31"/>
    </row>
    <row r="40" spans="1:23">
      <c r="A40" s="21" t="s">
        <v>110</v>
      </c>
      <c r="B40" s="31" t="s">
        <v>111</v>
      </c>
      <c r="C40" s="31"/>
      <c r="D40" s="31"/>
      <c r="E40" s="31"/>
      <c r="F40" s="31"/>
      <c r="G40" s="31"/>
      <c r="H40" s="31"/>
      <c r="I40" s="31"/>
    </row>
    <row r="41" spans="1:23">
      <c r="A41" s="22" t="s">
        <v>112</v>
      </c>
      <c r="B41" s="31" t="s">
        <v>113</v>
      </c>
      <c r="C41" s="31"/>
      <c r="D41" s="31"/>
      <c r="E41" s="31"/>
      <c r="F41" s="31"/>
      <c r="G41" s="31"/>
      <c r="H41" s="31"/>
      <c r="I41" s="31"/>
    </row>
    <row r="42" spans="1:23">
      <c r="A42" s="23" t="s">
        <v>114</v>
      </c>
      <c r="B42" s="31" t="s">
        <v>115</v>
      </c>
      <c r="C42" s="31"/>
      <c r="D42" s="31"/>
      <c r="E42" s="31"/>
      <c r="F42" s="31"/>
      <c r="G42" s="31"/>
      <c r="H42" s="31"/>
      <c r="I42" s="31"/>
    </row>
  </sheetData>
  <mergeCells count="18"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40:I40"/>
    <mergeCell ref="B41:I41"/>
    <mergeCell ref="B42:I42"/>
    <mergeCell ref="Q7:W7"/>
    <mergeCell ref="A9:I9"/>
    <mergeCell ref="A37:D37"/>
    <mergeCell ref="B38:I38"/>
    <mergeCell ref="B39:I39"/>
  </mergeCells>
  <phoneticPr fontId="30" type="noConversion"/>
  <conditionalFormatting sqref="G10:G34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4">
    <cfRule type="cellIs" dxfId="27" priority="2" operator="equal">
      <formula>"시작 전"</formula>
    </cfRule>
    <cfRule type="cellIs" dxfId="26" priority="3" operator="equal">
      <formula>"진행 중"</formula>
    </cfRule>
    <cfRule type="cellIs" dxfId="25" priority="4" operator="equal">
      <formula>"주의"</formula>
    </cfRule>
    <cfRule type="cellIs" dxfId="24" priority="5" operator="equal">
      <formula>"지연"</formula>
    </cfRule>
    <cfRule type="cellIs" dxfId="23" priority="6" operator="equal">
      <formula>"완료"</formula>
    </cfRule>
  </conditionalFormatting>
  <conditionalFormatting sqref="J9:W9">
    <cfRule type="expression" dxfId="22" priority="14">
      <formula>J$9=TODAY()</formula>
    </cfRule>
    <cfRule type="expression" dxfId="21" priority="15">
      <formula>OR(WEEKDAY(J$9,2)=6,WEEKDAY(J$9,2)=7)</formula>
    </cfRule>
  </conditionalFormatting>
  <conditionalFormatting sqref="J10:W34">
    <cfRule type="expression" dxfId="5" priority="8">
      <formula>AND($D10&lt;&gt;"",$E10&lt;&gt;"",J$9&gt;=$D10,J$9&lt;=$E10,$H10="완료")</formula>
    </cfRule>
    <cfRule type="expression" dxfId="4" priority="9">
      <formula>AND($D10&lt;&gt;"",$E10&lt;&gt;"",J$9&gt;=$D10,J$9&lt;=$E10,$H10="진행 중")</formula>
    </cfRule>
    <cfRule type="expression" dxfId="3" priority="10">
      <formula>AND($D10&lt;&gt;"",$E10&lt;&gt;"",J$9&gt;=$D10,J$9&lt;=$E10,$H10="주의")</formula>
    </cfRule>
    <cfRule type="expression" dxfId="2" priority="11">
      <formula>AND($D10&lt;&gt;"",$E10&lt;&gt;"",J$9&gt;=$D10,J$9&lt;=$E10,$H10="지연")</formula>
    </cfRule>
    <cfRule type="expression" dxfId="1" priority="12">
      <formula>AND($D10&lt;&gt;"",$E10&lt;&gt;"",J$9&gt;=$D10,J$9&lt;=$E10,$H10="시작 전")</formula>
    </cfRule>
    <cfRule type="expression" dxfId="0" priority="13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4" xr:uid="{00000000-0002-0000-01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1"/>
  <sheetViews>
    <sheetView showGridLines="0" tabSelected="1" zoomScaleNormal="100" workbookViewId="0">
      <pane xSplit="9" ySplit="9" topLeftCell="J22" activePane="bottomRight" state="frozen"/>
      <selection pane="topRight" activeCell="J1" sqref="J1"/>
      <selection pane="bottomLeft" activeCell="A10" sqref="A10"/>
      <selection pane="bottomRight" activeCell="K4" sqref="K4"/>
    </sheetView>
  </sheetViews>
  <sheetFormatPr defaultColWidth="8.42578125" defaultRowHeight="15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2578125" customWidth="1"/>
  </cols>
  <sheetData>
    <row r="1" spans="1:23" ht="31.5" customHeight="1">
      <c r="A1" s="39" t="s">
        <v>116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3" spans="1:23" ht="16.5">
      <c r="A3" s="8" t="s">
        <v>67</v>
      </c>
      <c r="B3" s="40" t="s">
        <v>117</v>
      </c>
      <c r="C3" s="40"/>
      <c r="D3" s="40"/>
      <c r="E3" s="40"/>
      <c r="F3" s="40"/>
      <c r="G3" s="8" t="s">
        <v>68</v>
      </c>
      <c r="H3" s="41" t="s">
        <v>118</v>
      </c>
      <c r="I3" s="41"/>
    </row>
    <row r="4" spans="1:23" ht="16.5">
      <c r="A4" s="8" t="s">
        <v>69</v>
      </c>
      <c r="B4" s="40" t="s">
        <v>119</v>
      </c>
      <c r="C4" s="40"/>
      <c r="D4" s="40"/>
      <c r="E4" s="40"/>
      <c r="F4" s="40"/>
      <c r="G4" s="8" t="s">
        <v>70</v>
      </c>
      <c r="H4" s="42">
        <v>46153</v>
      </c>
      <c r="I4" s="42"/>
    </row>
    <row r="5" spans="1:23" ht="16.5">
      <c r="A5" s="9" t="s">
        <v>71</v>
      </c>
      <c r="B5" s="35">
        <v>46153</v>
      </c>
      <c r="C5" s="35"/>
      <c r="D5" s="9" t="s">
        <v>72</v>
      </c>
      <c r="E5" s="35">
        <f>IF(B5="","",B5+13)</f>
        <v>46166</v>
      </c>
      <c r="F5" s="35"/>
      <c r="G5" s="8" t="s">
        <v>73</v>
      </c>
      <c r="H5" s="36">
        <f ca="1">TODAY()</f>
        <v>46150</v>
      </c>
      <c r="I5" s="36"/>
    </row>
    <row r="7" spans="1:23" ht="21.75" customHeight="1">
      <c r="A7" s="37" t="s">
        <v>74</v>
      </c>
      <c r="B7" s="37"/>
      <c r="C7" s="37"/>
      <c r="D7" s="37"/>
      <c r="E7" s="37"/>
      <c r="F7" s="37"/>
      <c r="G7" s="37"/>
      <c r="H7" s="37"/>
      <c r="I7" s="37"/>
      <c r="J7" s="38" t="s">
        <v>75</v>
      </c>
      <c r="K7" s="38"/>
      <c r="L7" s="38"/>
      <c r="M7" s="38"/>
      <c r="N7" s="38"/>
      <c r="O7" s="38"/>
      <c r="P7" s="38"/>
      <c r="Q7" s="32" t="s">
        <v>76</v>
      </c>
      <c r="R7" s="32"/>
      <c r="S7" s="32"/>
      <c r="T7" s="32"/>
      <c r="U7" s="32"/>
      <c r="V7" s="32"/>
      <c r="W7" s="32"/>
    </row>
    <row r="8" spans="1:23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</row>
    <row r="9" spans="1:23" ht="18" customHeight="1">
      <c r="A9" s="33" t="s">
        <v>95</v>
      </c>
      <c r="B9" s="33"/>
      <c r="C9" s="33"/>
      <c r="D9" s="33"/>
      <c r="E9" s="33"/>
      <c r="F9" s="33"/>
      <c r="G9" s="33"/>
      <c r="H9" s="33"/>
      <c r="I9" s="33"/>
      <c r="J9" s="12">
        <f>IF($B$5="","",$B$5+0)</f>
        <v>46153</v>
      </c>
      <c r="K9" s="12">
        <f>IF($B$5="","",$B$5+1)</f>
        <v>46154</v>
      </c>
      <c r="L9" s="12">
        <f>IF($B$5="","",$B$5+2)</f>
        <v>46155</v>
      </c>
      <c r="M9" s="12">
        <f>IF($B$5="","",$B$5+3)</f>
        <v>46156</v>
      </c>
      <c r="N9" s="12">
        <f>IF($B$5="","",$B$5+4)</f>
        <v>46157</v>
      </c>
      <c r="O9" s="12">
        <f>IF($B$5="","",$B$5+5)</f>
        <v>46158</v>
      </c>
      <c r="P9" s="12">
        <f>IF($B$5="","",$B$5+6)</f>
        <v>46159</v>
      </c>
      <c r="Q9" s="12">
        <f>IF($B$5="","",$B$5+7)</f>
        <v>46160</v>
      </c>
      <c r="R9" s="12">
        <f>IF($B$5="","",$B$5+8)</f>
        <v>46161</v>
      </c>
      <c r="S9" s="12">
        <f>IF($B$5="","",$B$5+9)</f>
        <v>46162</v>
      </c>
      <c r="T9" s="12">
        <f>IF($B$5="","",$B$5+10)</f>
        <v>46163</v>
      </c>
      <c r="U9" s="12">
        <f>IF($B$5="","",$B$5+11)</f>
        <v>46164</v>
      </c>
      <c r="V9" s="12">
        <f>IF($B$5="","",$B$5+12)</f>
        <v>46165</v>
      </c>
      <c r="W9" s="12">
        <f>IF($B$5="","",$B$5+13)</f>
        <v>46166</v>
      </c>
    </row>
    <row r="10" spans="1:23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 t="s">
        <v>120</v>
      </c>
      <c r="B11" s="24" t="s">
        <v>121</v>
      </c>
      <c r="C11" s="25" t="s">
        <v>118</v>
      </c>
      <c r="D11" s="26">
        <f>$B$5+0</f>
        <v>46153</v>
      </c>
      <c r="E11" s="26">
        <f>$B$5+1</f>
        <v>46154</v>
      </c>
      <c r="F11" s="27">
        <f>IF(AND(D11&lt;&gt;"",E11&lt;&gt;""),E11-D11+1,"")</f>
        <v>2</v>
      </c>
      <c r="G11" s="18">
        <v>1</v>
      </c>
      <c r="H11" s="25" t="s">
        <v>114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 t="s">
        <v>122</v>
      </c>
      <c r="B12" s="17" t="s">
        <v>123</v>
      </c>
      <c r="C12" s="25" t="s">
        <v>124</v>
      </c>
      <c r="D12" s="26">
        <f>$B$5+1</f>
        <v>46154</v>
      </c>
      <c r="E12" s="26">
        <f>$B$5+2</f>
        <v>46155</v>
      </c>
      <c r="F12" s="27">
        <f>IF(AND(D12&lt;&gt;"",E12&lt;&gt;""),E12-D12+1,"")</f>
        <v>2</v>
      </c>
      <c r="G12" s="18">
        <v>1</v>
      </c>
      <c r="H12" s="25" t="s">
        <v>114</v>
      </c>
      <c r="I12" s="16" t="s">
        <v>120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 t="s">
        <v>125</v>
      </c>
      <c r="B13" s="17" t="s">
        <v>126</v>
      </c>
      <c r="C13" s="25" t="s">
        <v>127</v>
      </c>
      <c r="D13" s="26">
        <f>$B$5+1</f>
        <v>46154</v>
      </c>
      <c r="E13" s="26">
        <f>$B$5+2</f>
        <v>46155</v>
      </c>
      <c r="F13" s="27">
        <f>IF(AND(D13&lt;&gt;"",E13&lt;&gt;""),E13-D13+1,"")</f>
        <v>2</v>
      </c>
      <c r="G13" s="18">
        <v>1</v>
      </c>
      <c r="H13" s="25" t="s">
        <v>114</v>
      </c>
      <c r="I13" s="16" t="s">
        <v>120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 t="s">
        <v>128</v>
      </c>
      <c r="B14" s="24" t="s">
        <v>129</v>
      </c>
      <c r="C14" s="25" t="s">
        <v>130</v>
      </c>
      <c r="D14" s="26">
        <f>$B$5+1</f>
        <v>46154</v>
      </c>
      <c r="E14" s="26">
        <f>$B$5+2</f>
        <v>46155</v>
      </c>
      <c r="F14" s="27">
        <f>IF(AND(D14&lt;&gt;"",E14&lt;&gt;""),E14-D14+1,"")</f>
        <v>2</v>
      </c>
      <c r="G14" s="18">
        <v>1</v>
      </c>
      <c r="H14" s="25" t="s">
        <v>114</v>
      </c>
      <c r="I14" s="16" t="s">
        <v>120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98</v>
      </c>
      <c r="B15" s="14" t="s">
        <v>99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 t="s">
        <v>131</v>
      </c>
      <c r="B16" s="17" t="s">
        <v>132</v>
      </c>
      <c r="C16" s="25" t="s">
        <v>124</v>
      </c>
      <c r="D16" s="26">
        <f>$B$5+2</f>
        <v>46155</v>
      </c>
      <c r="E16" s="26">
        <f>$B$5+2</f>
        <v>46155</v>
      </c>
      <c r="F16" s="27">
        <f>IF(AND(D16&lt;&gt;"",E16&lt;&gt;""),E16-D16+1,"")</f>
        <v>1</v>
      </c>
      <c r="G16" s="18">
        <v>1</v>
      </c>
      <c r="H16" s="25" t="s">
        <v>114</v>
      </c>
      <c r="I16" s="16" t="s">
        <v>122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 t="s">
        <v>133</v>
      </c>
      <c r="B17" s="17" t="s">
        <v>134</v>
      </c>
      <c r="C17" s="25" t="s">
        <v>124</v>
      </c>
      <c r="D17" s="26">
        <f>$B$5+3</f>
        <v>46156</v>
      </c>
      <c r="E17" s="26">
        <f>$B$5+4</f>
        <v>46157</v>
      </c>
      <c r="F17" s="27">
        <f>IF(AND(D17&lt;&gt;"",E17&lt;&gt;""),E17-D17+1,"")</f>
        <v>2</v>
      </c>
      <c r="G17" s="18">
        <v>0.7</v>
      </c>
      <c r="H17" s="25" t="s">
        <v>108</v>
      </c>
      <c r="I17" s="16" t="s">
        <v>131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 t="s">
        <v>135</v>
      </c>
      <c r="B18" s="17" t="s">
        <v>136</v>
      </c>
      <c r="C18" s="25" t="s">
        <v>127</v>
      </c>
      <c r="D18" s="26">
        <f>$B$5+3</f>
        <v>46156</v>
      </c>
      <c r="E18" s="26">
        <f>$B$5+5</f>
        <v>46158</v>
      </c>
      <c r="F18" s="27">
        <f>IF(AND(D18&lt;&gt;"",E18&lt;&gt;""),E18-D18+1,"")</f>
        <v>3</v>
      </c>
      <c r="G18" s="18">
        <v>0.5</v>
      </c>
      <c r="H18" s="25" t="s">
        <v>108</v>
      </c>
      <c r="I18" s="16" t="s">
        <v>137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 t="s">
        <v>138</v>
      </c>
      <c r="B19" s="17" t="s">
        <v>139</v>
      </c>
      <c r="C19" s="25" t="s">
        <v>124</v>
      </c>
      <c r="D19" s="26">
        <f>$B$5+5</f>
        <v>46158</v>
      </c>
      <c r="E19" s="26">
        <f>$B$5+7</f>
        <v>46160</v>
      </c>
      <c r="F19" s="27">
        <f>IF(AND(D19&lt;&gt;"",E19&lt;&gt;""),E19-D19+1,"")</f>
        <v>3</v>
      </c>
      <c r="G19" s="18">
        <v>0.2</v>
      </c>
      <c r="H19" s="25" t="s">
        <v>110</v>
      </c>
      <c r="I19" s="16" t="s">
        <v>140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6" t="s">
        <v>141</v>
      </c>
      <c r="B20" s="24" t="s">
        <v>142</v>
      </c>
      <c r="C20" s="25" t="s">
        <v>127</v>
      </c>
      <c r="D20" s="26">
        <f>$B$5+7</f>
        <v>46160</v>
      </c>
      <c r="E20" s="26">
        <f>$B$5+8</f>
        <v>46161</v>
      </c>
      <c r="F20" s="27">
        <f>IF(AND(D20&lt;&gt;"",E20&lt;&gt;""),E20-D20+1,"")</f>
        <v>2</v>
      </c>
      <c r="G20" s="18">
        <v>0</v>
      </c>
      <c r="H20" s="25" t="s">
        <v>107</v>
      </c>
      <c r="I20" s="16" t="s">
        <v>138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21.75" customHeight="1">
      <c r="A21" s="13" t="s">
        <v>100</v>
      </c>
      <c r="B21" s="14" t="s">
        <v>101</v>
      </c>
      <c r="C21" s="13"/>
      <c r="D21" s="13"/>
      <c r="E21" s="13"/>
      <c r="F21" s="13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21.75" customHeight="1">
      <c r="A22" s="16" t="s">
        <v>143</v>
      </c>
      <c r="B22" s="17" t="s">
        <v>144</v>
      </c>
      <c r="C22" s="25" t="s">
        <v>130</v>
      </c>
      <c r="D22" s="26">
        <f>$B$5+2</f>
        <v>46155</v>
      </c>
      <c r="E22" s="26">
        <f>$B$5+2</f>
        <v>46155</v>
      </c>
      <c r="F22" s="27">
        <f>IF(AND(D22&lt;&gt;"",E22&lt;&gt;""),E22-D22+1,"")</f>
        <v>1</v>
      </c>
      <c r="G22" s="18">
        <v>1</v>
      </c>
      <c r="H22" s="25" t="s">
        <v>114</v>
      </c>
      <c r="I22" s="16" t="s">
        <v>128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 t="s">
        <v>145</v>
      </c>
      <c r="B23" s="24" t="s">
        <v>146</v>
      </c>
      <c r="C23" s="25" t="s">
        <v>130</v>
      </c>
      <c r="D23" s="26">
        <f>$B$5+3</f>
        <v>46156</v>
      </c>
      <c r="E23" s="26">
        <f>$B$5+4</f>
        <v>46157</v>
      </c>
      <c r="F23" s="27">
        <f>IF(AND(D23&lt;&gt;"",E23&lt;&gt;""),E23-D23+1,"")</f>
        <v>2</v>
      </c>
      <c r="G23" s="18">
        <v>0.6</v>
      </c>
      <c r="H23" s="25" t="s">
        <v>108</v>
      </c>
      <c r="I23" s="16" t="s">
        <v>143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 t="s">
        <v>147</v>
      </c>
      <c r="B24" s="24" t="s">
        <v>148</v>
      </c>
      <c r="C24" s="25" t="s">
        <v>118</v>
      </c>
      <c r="D24" s="26">
        <f>$B$5+4</f>
        <v>46157</v>
      </c>
      <c r="E24" s="26">
        <f>$B$5+6</f>
        <v>46159</v>
      </c>
      <c r="F24" s="27">
        <f>IF(AND(D24&lt;&gt;"",E24&lt;&gt;""),E24-D24+1,"")</f>
        <v>3</v>
      </c>
      <c r="G24" s="18">
        <v>0.3</v>
      </c>
      <c r="H24" s="25" t="s">
        <v>108</v>
      </c>
      <c r="I24" s="16" t="s">
        <v>149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6" t="s">
        <v>150</v>
      </c>
      <c r="B25" s="24" t="s">
        <v>151</v>
      </c>
      <c r="C25" s="25" t="s">
        <v>118</v>
      </c>
      <c r="D25" s="26">
        <f>$B$5+6</f>
        <v>46159</v>
      </c>
      <c r="E25" s="26">
        <f>$B$5+8</f>
        <v>46161</v>
      </c>
      <c r="F25" s="27">
        <f>IF(AND(D25&lt;&gt;"",E25&lt;&gt;""),E25-D25+1,"")</f>
        <v>3</v>
      </c>
      <c r="G25" s="18">
        <v>0</v>
      </c>
      <c r="H25" s="25" t="s">
        <v>107</v>
      </c>
      <c r="I25" s="16" t="s">
        <v>147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21.75" customHeight="1">
      <c r="A26" s="13" t="s">
        <v>102</v>
      </c>
      <c r="B26" s="14" t="s">
        <v>103</v>
      </c>
      <c r="C26" s="13"/>
      <c r="D26" s="13"/>
      <c r="E26" s="13"/>
      <c r="F26" s="13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21.75" customHeight="1">
      <c r="A27" s="16" t="s">
        <v>152</v>
      </c>
      <c r="B27" s="17" t="s">
        <v>153</v>
      </c>
      <c r="C27" s="25" t="s">
        <v>127</v>
      </c>
      <c r="D27" s="26">
        <f>$B$5+8</f>
        <v>46161</v>
      </c>
      <c r="E27" s="26">
        <f>$B$5+10</f>
        <v>46163</v>
      </c>
      <c r="F27" s="27">
        <f>IF(AND(D27&lt;&gt;"",E27&lt;&gt;""),E27-D27+1,"")</f>
        <v>3</v>
      </c>
      <c r="G27" s="18">
        <v>0</v>
      </c>
      <c r="H27" s="25" t="s">
        <v>107</v>
      </c>
      <c r="I27" s="16" t="s">
        <v>154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 t="s">
        <v>155</v>
      </c>
      <c r="B28" s="24" t="s">
        <v>156</v>
      </c>
      <c r="C28" s="25" t="s">
        <v>130</v>
      </c>
      <c r="D28" s="26">
        <f>$B$5+10</f>
        <v>46163</v>
      </c>
      <c r="E28" s="26">
        <f>$B$5+11</f>
        <v>46164</v>
      </c>
      <c r="F28" s="27">
        <f>IF(AND(D28&lt;&gt;"",E28&lt;&gt;""),E28-D28+1,"")</f>
        <v>2</v>
      </c>
      <c r="G28" s="18">
        <v>0</v>
      </c>
      <c r="H28" s="25" t="s">
        <v>107</v>
      </c>
      <c r="I28" s="16" t="s">
        <v>152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 t="s">
        <v>157</v>
      </c>
      <c r="B29" s="24" t="s">
        <v>158</v>
      </c>
      <c r="C29" s="25" t="s">
        <v>124</v>
      </c>
      <c r="D29" s="26">
        <f>$B$5+11</f>
        <v>46164</v>
      </c>
      <c r="E29" s="26">
        <f>$B$5+12</f>
        <v>46165</v>
      </c>
      <c r="F29" s="27">
        <f>IF(AND(D29&lt;&gt;"",E29&lt;&gt;""),E29-D29+1,"")</f>
        <v>2</v>
      </c>
      <c r="G29" s="18">
        <v>0</v>
      </c>
      <c r="H29" s="25" t="s">
        <v>107</v>
      </c>
      <c r="I29" s="16" t="s">
        <v>155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104</v>
      </c>
      <c r="B30" s="14" t="s">
        <v>105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 t="s">
        <v>159</v>
      </c>
      <c r="B31" s="24" t="s">
        <v>160</v>
      </c>
      <c r="C31" s="25" t="s">
        <v>118</v>
      </c>
      <c r="D31" s="26">
        <f>$B$5+11</f>
        <v>46164</v>
      </c>
      <c r="E31" s="26">
        <f>$B$5+12</f>
        <v>46165</v>
      </c>
      <c r="F31" s="27">
        <f>IF(AND(D31&lt;&gt;"",E31&lt;&gt;""),E31-D31+1,"")</f>
        <v>2</v>
      </c>
      <c r="G31" s="18">
        <v>0</v>
      </c>
      <c r="H31" s="25" t="s">
        <v>107</v>
      </c>
      <c r="I31" s="16" t="s">
        <v>155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 t="s">
        <v>161</v>
      </c>
      <c r="B32" s="24" t="s">
        <v>162</v>
      </c>
      <c r="C32" s="25" t="s">
        <v>130</v>
      </c>
      <c r="D32" s="26">
        <f>$B$5+12</f>
        <v>46165</v>
      </c>
      <c r="E32" s="26">
        <f>$B$5+13</f>
        <v>46166</v>
      </c>
      <c r="F32" s="27">
        <f>IF(AND(D32&lt;&gt;"",E32&lt;&gt;""),E32-D32+1,"")</f>
        <v>2</v>
      </c>
      <c r="G32" s="18">
        <v>0</v>
      </c>
      <c r="H32" s="25" t="s">
        <v>107</v>
      </c>
      <c r="I32" s="16" t="s">
        <v>159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 t="s">
        <v>163</v>
      </c>
      <c r="B33" s="24" t="s">
        <v>164</v>
      </c>
      <c r="C33" s="25" t="s">
        <v>118</v>
      </c>
      <c r="D33" s="26">
        <f>$B$5+13</f>
        <v>46166</v>
      </c>
      <c r="E33" s="26">
        <f>$B$5+13</f>
        <v>46166</v>
      </c>
      <c r="F33" s="27">
        <f>IF(AND(D33&lt;&gt;"",E33&lt;&gt;""),E33-D33+1,"")</f>
        <v>1</v>
      </c>
      <c r="G33" s="18">
        <v>0</v>
      </c>
      <c r="H33" s="25" t="s">
        <v>107</v>
      </c>
      <c r="I33" s="16" t="s">
        <v>161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6" spans="1:23" ht="15.75">
      <c r="A36" s="34" t="s">
        <v>106</v>
      </c>
      <c r="B36" s="34"/>
      <c r="C36" s="34"/>
      <c r="D36" s="34"/>
    </row>
    <row r="37" spans="1:23">
      <c r="A37" s="19" t="s">
        <v>107</v>
      </c>
      <c r="B37" s="31" t="s">
        <v>39</v>
      </c>
      <c r="C37" s="31"/>
      <c r="D37" s="31"/>
      <c r="E37" s="31"/>
      <c r="F37" s="31"/>
      <c r="G37" s="31"/>
      <c r="H37" s="31"/>
      <c r="I37" s="31"/>
    </row>
    <row r="38" spans="1:23">
      <c r="A38" s="20" t="s">
        <v>108</v>
      </c>
      <c r="B38" s="31" t="s">
        <v>109</v>
      </c>
      <c r="C38" s="31"/>
      <c r="D38" s="31"/>
      <c r="E38" s="31"/>
      <c r="F38" s="31"/>
      <c r="G38" s="31"/>
      <c r="H38" s="31"/>
      <c r="I38" s="31"/>
    </row>
    <row r="39" spans="1:23">
      <c r="A39" s="21" t="s">
        <v>110</v>
      </c>
      <c r="B39" s="31" t="s">
        <v>111</v>
      </c>
      <c r="C39" s="31"/>
      <c r="D39" s="31"/>
      <c r="E39" s="31"/>
      <c r="F39" s="31"/>
      <c r="G39" s="31"/>
      <c r="H39" s="31"/>
      <c r="I39" s="31"/>
    </row>
    <row r="40" spans="1:23">
      <c r="A40" s="22" t="s">
        <v>112</v>
      </c>
      <c r="B40" s="31" t="s">
        <v>113</v>
      </c>
      <c r="C40" s="31"/>
      <c r="D40" s="31"/>
      <c r="E40" s="31"/>
      <c r="F40" s="31"/>
      <c r="G40" s="31"/>
      <c r="H40" s="31"/>
      <c r="I40" s="31"/>
    </row>
    <row r="41" spans="1:23">
      <c r="A41" s="23" t="s">
        <v>114</v>
      </c>
      <c r="B41" s="31" t="s">
        <v>115</v>
      </c>
      <c r="C41" s="31"/>
      <c r="D41" s="31"/>
      <c r="E41" s="31"/>
      <c r="F41" s="31"/>
      <c r="G41" s="31"/>
      <c r="H41" s="31"/>
      <c r="I41" s="31"/>
    </row>
  </sheetData>
  <mergeCells count="18"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39:I39"/>
    <mergeCell ref="B40:I40"/>
    <mergeCell ref="B41:I41"/>
    <mergeCell ref="Q7:W7"/>
    <mergeCell ref="A9:I9"/>
    <mergeCell ref="A36:D36"/>
    <mergeCell ref="B37:I37"/>
    <mergeCell ref="B38:I38"/>
  </mergeCells>
  <phoneticPr fontId="30" type="noConversion"/>
  <conditionalFormatting sqref="G10:G33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3">
    <cfRule type="cellIs" dxfId="20" priority="2" operator="equal">
      <formula>"시작 전"</formula>
    </cfRule>
    <cfRule type="cellIs" dxfId="19" priority="3" operator="equal">
      <formula>"진행 중"</formula>
    </cfRule>
    <cfRule type="cellIs" dxfId="18" priority="4" operator="equal">
      <formula>"주의"</formula>
    </cfRule>
    <cfRule type="cellIs" dxfId="17" priority="5" operator="equal">
      <formula>"지연"</formula>
    </cfRule>
    <cfRule type="cellIs" dxfId="16" priority="6" operator="equal">
      <formula>"완료"</formula>
    </cfRule>
  </conditionalFormatting>
  <conditionalFormatting sqref="J9:W9">
    <cfRule type="expression" dxfId="15" priority="14">
      <formula>J$9=TODAY()</formula>
    </cfRule>
    <cfRule type="expression" dxfId="14" priority="15">
      <formula>OR(WEEKDAY(J$9,2)=6,WEEKDAY(J$9,2)=7)</formula>
    </cfRule>
  </conditionalFormatting>
  <conditionalFormatting sqref="J10:W33">
    <cfRule type="expression" dxfId="13" priority="8">
      <formula>AND($D10&lt;&gt;"",$E10&lt;&gt;"",J$9&gt;=$D10,J$9&lt;=$E10,$H10="완료")</formula>
    </cfRule>
    <cfRule type="expression" dxfId="12" priority="9">
      <formula>AND($D10&lt;&gt;"",$E10&lt;&gt;"",J$9&gt;=$D10,J$9&lt;=$E10,$H10="진행 중")</formula>
    </cfRule>
    <cfRule type="expression" dxfId="11" priority="10">
      <formula>AND($D10&lt;&gt;"",$E10&lt;&gt;"",J$9&gt;=$D10,J$9&lt;=$E10,$H10="주의")</formula>
    </cfRule>
    <cfRule type="expression" dxfId="10" priority="11">
      <formula>AND($D10&lt;&gt;"",$E10&lt;&gt;"",J$9&gt;=$D10,J$9&lt;=$E10,$H10="지연")</formula>
    </cfRule>
    <cfRule type="expression" dxfId="9" priority="12">
      <formula>AND($D10&lt;&gt;"",$E10&lt;&gt;"",J$9&gt;=$D10,J$9&lt;=$E10,$H10="시작 전")</formula>
    </cfRule>
    <cfRule type="expression" dxfId="8" priority="13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3" xr:uid="{00000000-0002-0000-02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B06BD-D0CC-472C-BC90-4E93FF52693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f805e87-c28d-4de3-9cfd-97861b2d07b7"/>
    <ds:schemaRef ds:uri="http://www.w3.org/XML/1998/namespace"/>
    <ds:schemaRef ds:uri="8ac307eb-12d9-434d-8280-a47ce07b356d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002C5-96F2-4017-83A0-8DA83D99C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2DB322-A4D0-448E-9BED-42548B575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사용 가이드</vt:lpstr>
      <vt:lpstr>🗓️ 간트 차트</vt:lpstr>
      <vt:lpstr>🔵 샘플 (AI 자소서 코칭)</vt:lpstr>
      <vt:lpstr>'🔵 샘플 (AI 자소서 코칭)'!Print_Area</vt:lpstr>
      <vt:lpstr>'🗓️ 간트 차트'!Print_Area</vt:lpstr>
      <vt:lpstr>'사용 가이드'!Print_Area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SSAFY</cp:lastModifiedBy>
  <cp:revision>0</cp:revision>
  <dcterms:created xsi:type="dcterms:W3CDTF">2026-05-06T03:18:14Z</dcterms:created>
  <dcterms:modified xsi:type="dcterms:W3CDTF">2026-05-08T05:51:27Z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